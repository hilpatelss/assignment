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d.docs.live.net/097fae2e57f1130e/Documents/LMS PPTs/Excel/"/>
    </mc:Choice>
  </mc:AlternateContent>
  <xr:revisionPtr revIDLastSave="0" documentId="8_{EE796550-6FB5-421C-AC99-97318A1256C9}" xr6:coauthVersionLast="47" xr6:coauthVersionMax="47" xr10:uidLastSave="{00000000-0000-0000-0000-000000000000}"/>
  <bookViews>
    <workbookView xWindow="-120" yWindow="-120" windowWidth="20730" windowHeight="11040" firstSheet="8" activeTab="8" xr2:uid="{00000000-000D-0000-FFFF-FFFF00000000}"/>
  </bookViews>
  <sheets>
    <sheet name="Index" sheetId="5" r:id="rId1"/>
    <sheet name="Notes" sheetId="11" r:id="rId2"/>
    <sheet name="V Lookup" sheetId="1" r:id="rId3"/>
    <sheet name="Orders" sheetId="2" r:id="rId4"/>
    <sheet name="Hlookup" sheetId="4" r:id="rId5"/>
    <sheet name="Array " sheetId="6" r:id="rId6"/>
    <sheet name="Error Handling" sheetId="7" r:id="rId7"/>
    <sheet name="Index Match" sheetId="10" r:id="rId8"/>
    <sheet name="Practice Sheet 1 " sheetId="9" r:id="rId9"/>
    <sheet name="Sheet2" sheetId="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10" l="1"/>
  <c r="M14" i="10"/>
  <c r="N14" i="10"/>
  <c r="O14" i="10"/>
  <c r="M15" i="10"/>
  <c r="N15" i="10"/>
  <c r="O15" i="10"/>
  <c r="M16" i="10"/>
  <c r="O16" i="10"/>
  <c r="M17" i="10"/>
  <c r="N17" i="10"/>
  <c r="O17" i="10"/>
  <c r="N13" i="10"/>
  <c r="O13" i="10"/>
  <c r="M13" i="10"/>
  <c r="B15" i="4"/>
  <c r="I28" i="1"/>
  <c r="I27" i="1"/>
  <c r="I26" i="1"/>
  <c r="I25" i="1"/>
  <c r="I24" i="1"/>
  <c r="H33" i="1"/>
  <c r="H24" i="1"/>
  <c r="H25" i="1"/>
  <c r="J25" i="1"/>
  <c r="H26" i="1"/>
  <c r="J26" i="1"/>
  <c r="H27" i="1"/>
  <c r="J27" i="1"/>
  <c r="H28" i="1"/>
  <c r="J28" i="1"/>
  <c r="J24" i="1"/>
  <c r="J30" i="1" s="1"/>
  <c r="L5" i="1"/>
  <c r="F2" i="1"/>
  <c r="P13" i="8" a="1"/>
  <c r="P13" i="8" s="1"/>
  <c r="D3" i="10"/>
  <c r="D4" i="10"/>
  <c r="D5" i="10"/>
  <c r="D6" i="10"/>
  <c r="D2" i="10"/>
  <c r="C2" i="10"/>
  <c r="H3" i="9"/>
  <c r="H4" i="9"/>
  <c r="H5" i="9"/>
  <c r="H6" i="9"/>
  <c r="H7" i="9"/>
  <c r="H8" i="9"/>
  <c r="H9" i="9"/>
  <c r="H10" i="9"/>
  <c r="H11" i="9"/>
  <c r="H12" i="9"/>
  <c r="H2" i="9"/>
  <c r="G12" i="9"/>
  <c r="G11" i="9"/>
  <c r="G10" i="9"/>
  <c r="G9" i="9"/>
  <c r="G8" i="9"/>
  <c r="G7" i="9"/>
  <c r="G6" i="9"/>
  <c r="G5" i="9"/>
  <c r="G4" i="9"/>
  <c r="G3" i="9"/>
  <c r="G2" i="9"/>
  <c r="F11" i="9"/>
  <c r="F10" i="9"/>
  <c r="F9" i="9"/>
  <c r="F8" i="9"/>
  <c r="F7" i="9"/>
  <c r="F6" i="9"/>
  <c r="F5" i="9"/>
  <c r="F4" i="9"/>
  <c r="F3" i="9"/>
  <c r="F2" i="9"/>
  <c r="D11" i="9"/>
  <c r="D10" i="9"/>
  <c r="D9" i="9"/>
  <c r="D8" i="9"/>
  <c r="D7" i="9"/>
  <c r="D6" i="9"/>
  <c r="D5" i="9"/>
  <c r="D4" i="9"/>
  <c r="D3" i="9"/>
  <c r="D2" i="9"/>
  <c r="E11" i="9"/>
  <c r="E10" i="9"/>
  <c r="E9" i="9"/>
  <c r="E8" i="9"/>
  <c r="E7" i="9"/>
  <c r="E6" i="9"/>
  <c r="E5" i="9"/>
  <c r="E4" i="9"/>
  <c r="E3" i="9"/>
  <c r="E2" i="9"/>
  <c r="A3" i="8"/>
  <c r="A31" i="8"/>
</calcChain>
</file>

<file path=xl/sharedStrings.xml><?xml version="1.0" encoding="utf-8"?>
<sst xmlns="http://schemas.openxmlformats.org/spreadsheetml/2006/main" count="293" uniqueCount="184">
  <si>
    <t>Lookup and Reference Functions (VLOOKUP, HLOOKUP, INDEX, MATCH) VLookUp</t>
  </si>
  <si>
    <t>Array Formulas</t>
  </si>
  <si>
    <t>Error Handling Functions (IFERROR, ISERROR)</t>
  </si>
  <si>
    <t>Additional Efficiency Tool &amp; Hands on</t>
  </si>
  <si>
    <t>MS Excel Function – VLOOKUP</t>
  </si>
  <si>
    <t>Function</t>
  </si>
  <si>
    <t>Explanation</t>
  </si>
  <si>
    <t>Syntax</t>
  </si>
  <si>
    <t>VLOOKUP</t>
  </si>
  <si>
    <t>Searches for a value in the first column of a table and returns a value in the same row from another column.</t>
  </si>
  <si>
    <t>"=VLOOKUP(lookup_value, table_array, col_index_num, [range_lookup])"</t>
  </si>
  <si>
    <t>MS Excel Function – HLOOKUP</t>
  </si>
  <si>
    <t>HLOOKUP</t>
  </si>
  <si>
    <r>
      <t xml:space="preserve">Searches for a value in the </t>
    </r>
    <r>
      <rPr>
        <b/>
        <sz val="11"/>
        <color theme="1"/>
        <rFont val="Calibri"/>
        <family val="2"/>
        <scheme val="minor"/>
      </rPr>
      <t>first row</t>
    </r>
    <r>
      <rPr>
        <sz val="11"/>
        <color theme="1"/>
        <rFont val="Calibri"/>
        <family val="2"/>
        <scheme val="minor"/>
      </rPr>
      <t xml:space="preserve"> of a table and returns a value in the same column from another row.</t>
    </r>
  </si>
  <si>
    <t>"=HLOOKUP(lookup_value, table_array, row_index_num, [range_lookup])"</t>
  </si>
  <si>
    <t>MS Excel Functions – INDEX + MATCH</t>
  </si>
  <si>
    <t>Feature</t>
  </si>
  <si>
    <t>Definition</t>
  </si>
  <si>
    <t>Array formulas allow you to perform multiple calculations on one or more items in an array (a range of cells) simultaneously. They can return either a single value or multiple values.</t>
  </si>
  <si>
    <r>
      <t>"=FORMULA(range)"</t>
    </r>
    <r>
      <rPr>
        <sz val="11"/>
        <color theme="1"/>
        <rFont val="Calibri"/>
        <family val="2"/>
        <scheme val="minor"/>
      </rPr>
      <t xml:space="preserve"> (entered with </t>
    </r>
    <r>
      <rPr>
        <b/>
        <sz val="11"/>
        <color theme="1"/>
        <rFont val="Calibri"/>
        <family val="2"/>
        <scheme val="minor"/>
      </rPr>
      <t>Ctrl + Shift + Enter</t>
    </r>
    <r>
      <rPr>
        <sz val="11"/>
        <color theme="1"/>
        <rFont val="Calibri"/>
        <family val="2"/>
        <scheme val="minor"/>
      </rPr>
      <t xml:space="preserve"> in older Excel versions; in modern Excel, dynamic arrays work directly)</t>
    </r>
  </si>
  <si>
    <t>Types</t>
  </si>
  <si>
    <r>
      <t xml:space="preserve">1. </t>
    </r>
    <r>
      <rPr>
        <b/>
        <sz val="11"/>
        <color theme="1"/>
        <rFont val="Calibri"/>
        <family val="2"/>
        <scheme val="minor"/>
      </rPr>
      <t>Single-cell array formula</t>
    </r>
    <r>
      <rPr>
        <sz val="11"/>
        <color theme="1"/>
        <rFont val="Calibri"/>
        <family val="2"/>
        <scheme val="minor"/>
      </rPr>
      <t xml:space="preserve"> → Returns one value (e.g., sum of a product). 2. </t>
    </r>
    <r>
      <rPr>
        <b/>
        <sz val="11"/>
        <color theme="1"/>
        <rFont val="Calibri"/>
        <family val="2"/>
        <scheme val="minor"/>
      </rPr>
      <t>Multi-cell array formula</t>
    </r>
    <r>
      <rPr>
        <sz val="11"/>
        <color theme="1"/>
        <rFont val="Calibri"/>
        <family val="2"/>
        <scheme val="minor"/>
      </rPr>
      <t xml:space="preserve"> → Returns multiple values across a range.</t>
    </r>
  </si>
  <si>
    <t>-</t>
  </si>
  <si>
    <t>Usage</t>
  </si>
  <si>
    <t>- Performing complex calculations (SUM, AVERAGE, MAX, etc.) across ranges. - Eliminating helper columns. - Advanced lookups and conditional calculations.</t>
  </si>
  <si>
    <r>
      <t xml:space="preserve">Example: </t>
    </r>
    <r>
      <rPr>
        <sz val="10"/>
        <color theme="1"/>
        <rFont val="Arial Unicode MS"/>
      </rPr>
      <t>"=SUM(A1:A5*B1:B5)"</t>
    </r>
    <r>
      <rPr>
        <sz val="11"/>
        <color theme="1"/>
        <rFont val="Calibri"/>
        <family val="2"/>
        <scheme val="minor"/>
      </rPr>
      <t xml:space="preserve"> → gives total of product of two ranges.</t>
    </r>
  </si>
  <si>
    <t>Important Note</t>
  </si>
  <si>
    <r>
      <t xml:space="preserve">In older Excel, press </t>
    </r>
    <r>
      <rPr>
        <b/>
        <sz val="11"/>
        <color theme="1"/>
        <rFont val="Calibri"/>
        <family val="2"/>
        <scheme val="minor"/>
      </rPr>
      <t>Ctrl + Shift + Enter (CSE)</t>
    </r>
    <r>
      <rPr>
        <sz val="11"/>
        <color theme="1"/>
        <rFont val="Calibri"/>
        <family val="2"/>
        <scheme val="minor"/>
      </rPr>
      <t xml:space="preserve"> instead of just Enter to apply. Modern Excel handles array formulas automatically (Dynamic Arrays).</t>
    </r>
  </si>
  <si>
    <t>Product_ID</t>
  </si>
  <si>
    <t>Product_Name</t>
  </si>
  <si>
    <t>Category</t>
  </si>
  <si>
    <t>Price</t>
  </si>
  <si>
    <t>Stock</t>
  </si>
  <si>
    <t>Customer_Name</t>
  </si>
  <si>
    <t>Questions</t>
  </si>
  <si>
    <t>Laptop</t>
  </si>
  <si>
    <t>Electronics</t>
  </si>
  <si>
    <r>
      <t xml:space="preserve">1. Find the </t>
    </r>
    <r>
      <rPr>
        <b/>
        <sz val="11"/>
        <color theme="1"/>
        <rFont val="Calibri"/>
        <family val="2"/>
        <scheme val="minor"/>
      </rPr>
      <t>Product_Name</t>
    </r>
    <r>
      <rPr>
        <sz val="11"/>
        <color theme="1"/>
        <rFont val="Calibri"/>
        <family val="2"/>
        <scheme val="minor"/>
      </rPr>
      <t xml:space="preserve"> for Product_ID 105.</t>
    </r>
  </si>
  <si>
    <t>Mouse</t>
  </si>
  <si>
    <t>Accessories</t>
  </si>
  <si>
    <r>
      <t xml:space="preserve">2. Find the </t>
    </r>
    <r>
      <rPr>
        <b/>
        <sz val="11"/>
        <color theme="1"/>
        <rFont val="Calibri"/>
        <family val="2"/>
        <scheme val="minor"/>
      </rPr>
      <t>Category</t>
    </r>
    <r>
      <rPr>
        <sz val="11"/>
        <color theme="1"/>
        <rFont val="Calibri"/>
        <family val="2"/>
        <scheme val="minor"/>
      </rPr>
      <t xml:space="preserve"> for Product_ID 102.</t>
    </r>
  </si>
  <si>
    <t>Keyboard</t>
  </si>
  <si>
    <r>
      <t xml:space="preserve">3. Find the </t>
    </r>
    <r>
      <rPr>
        <b/>
        <sz val="11"/>
        <color theme="1"/>
        <rFont val="Calibri"/>
        <family val="2"/>
        <scheme val="minor"/>
      </rPr>
      <t>Price</t>
    </r>
    <r>
      <rPr>
        <sz val="11"/>
        <color theme="1"/>
        <rFont val="Calibri"/>
        <family val="2"/>
        <scheme val="minor"/>
      </rPr>
      <t xml:space="preserve"> of Product_ID 107.</t>
    </r>
  </si>
  <si>
    <t>Monitor</t>
  </si>
  <si>
    <r>
      <t xml:space="preserve">4. Find the </t>
    </r>
    <r>
      <rPr>
        <b/>
        <sz val="11"/>
        <color theme="1"/>
        <rFont val="Calibri"/>
        <family val="2"/>
        <scheme val="minor"/>
      </rPr>
      <t>Stock</t>
    </r>
    <r>
      <rPr>
        <sz val="11"/>
        <color theme="1"/>
        <rFont val="Calibri"/>
        <family val="2"/>
        <scheme val="minor"/>
      </rPr>
      <t xml:space="preserve"> of Product_ID 110.</t>
    </r>
  </si>
  <si>
    <t>Printer</t>
  </si>
  <si>
    <r>
      <t xml:space="preserve">5. Find the </t>
    </r>
    <r>
      <rPr>
        <b/>
        <sz val="11"/>
        <color theme="1"/>
        <rFont val="Calibri"/>
        <family val="2"/>
        <scheme val="minor"/>
      </rPr>
      <t>Customer_Name</t>
    </r>
    <r>
      <rPr>
        <sz val="11"/>
        <color theme="1"/>
        <rFont val="Calibri"/>
        <family val="2"/>
        <scheme val="minor"/>
      </rPr>
      <t xml:space="preserve"> of Product_ID 103.</t>
    </r>
  </si>
  <si>
    <t>Scanner</t>
  </si>
  <si>
    <r>
      <t xml:space="preserve">6. Find the </t>
    </r>
    <r>
      <rPr>
        <b/>
        <sz val="11"/>
        <color theme="1"/>
        <rFont val="Calibri"/>
        <family val="2"/>
        <scheme val="minor"/>
      </rPr>
      <t>Product_Name</t>
    </r>
    <r>
      <rPr>
        <sz val="11"/>
        <color theme="1"/>
        <rFont val="Calibri"/>
        <family val="2"/>
        <scheme val="minor"/>
      </rPr>
      <t xml:space="preserve"> for Product_ID 109.</t>
    </r>
  </si>
  <si>
    <t>Tablet</t>
  </si>
  <si>
    <r>
      <t xml:space="preserve">7. If Product_ID is not found (e.g., 120), return </t>
    </r>
    <r>
      <rPr>
        <sz val="10"/>
        <color theme="1"/>
        <rFont val="Arial Unicode MS"/>
      </rPr>
      <t>"Not Found"</t>
    </r>
    <r>
      <rPr>
        <sz val="11"/>
        <color theme="1"/>
        <rFont val="Calibri"/>
        <family val="2"/>
        <scheme val="minor"/>
      </rPr>
      <t>.</t>
    </r>
  </si>
  <si>
    <t>Speaker</t>
  </si>
  <si>
    <r>
      <t xml:space="preserve">8. Find the </t>
    </r>
    <r>
      <rPr>
        <b/>
        <sz val="11"/>
        <color theme="1"/>
        <rFont val="Calibri"/>
        <family val="2"/>
        <scheme val="minor"/>
      </rPr>
      <t>Price</t>
    </r>
    <r>
      <rPr>
        <sz val="11"/>
        <color theme="1"/>
        <rFont val="Calibri"/>
        <family val="2"/>
        <scheme val="minor"/>
      </rPr>
      <t xml:space="preserve"> of Product_ID 101, and if not found, return </t>
    </r>
    <r>
      <rPr>
        <sz val="10"/>
        <color theme="1"/>
        <rFont val="Arial Unicode MS"/>
      </rPr>
      <t>0</t>
    </r>
    <r>
      <rPr>
        <sz val="11"/>
        <color theme="1"/>
        <rFont val="Calibri"/>
        <family val="2"/>
        <scheme val="minor"/>
      </rPr>
      <t>.</t>
    </r>
  </si>
  <si>
    <t>Camera</t>
  </si>
  <si>
    <r>
      <t xml:space="preserve">9. Find the </t>
    </r>
    <r>
      <rPr>
        <b/>
        <sz val="11"/>
        <color theme="1"/>
        <rFont val="Calibri"/>
        <family val="2"/>
        <scheme val="minor"/>
      </rPr>
      <t>Category</t>
    </r>
    <r>
      <rPr>
        <sz val="11"/>
        <color theme="1"/>
        <rFont val="Calibri"/>
        <family val="2"/>
        <scheme val="minor"/>
      </rPr>
      <t xml:space="preserve"> of Product_ID 108.</t>
    </r>
  </si>
  <si>
    <t>Hard Disk</t>
  </si>
  <si>
    <r>
      <t xml:space="preserve">10. Find the </t>
    </r>
    <r>
      <rPr>
        <b/>
        <sz val="11"/>
        <color theme="1"/>
        <rFont val="Calibri"/>
        <family val="2"/>
        <scheme val="minor"/>
      </rPr>
      <t>Customer_Name</t>
    </r>
    <r>
      <rPr>
        <sz val="11"/>
        <color theme="1"/>
        <rFont val="Calibri"/>
        <family val="2"/>
        <scheme val="minor"/>
      </rPr>
      <t xml:space="preserve"> for Product_ID 106.</t>
    </r>
  </si>
  <si>
    <t>Top Products</t>
  </si>
  <si>
    <t>Product Code</t>
  </si>
  <si>
    <t>Quantity</t>
  </si>
  <si>
    <t>Vlookup</t>
  </si>
  <si>
    <t>Mobile</t>
  </si>
  <si>
    <t>1000-165-B100</t>
  </si>
  <si>
    <t>Product</t>
  </si>
  <si>
    <t>Unit</t>
  </si>
  <si>
    <t>Total</t>
  </si>
  <si>
    <t>1001-540-C101</t>
  </si>
  <si>
    <t>Watches</t>
  </si>
  <si>
    <t>1002-394-M102</t>
  </si>
  <si>
    <t>Cosmetics</t>
  </si>
  <si>
    <t>1003-307-Q103</t>
  </si>
  <si>
    <t>Vlookup with Data Validation</t>
  </si>
  <si>
    <t>Shoes</t>
  </si>
  <si>
    <t>1004-848-S104</t>
  </si>
  <si>
    <t>1005-155-S105</t>
  </si>
  <si>
    <t>Perfumes</t>
  </si>
  <si>
    <t>1006-552-T106</t>
  </si>
  <si>
    <t>Clothes</t>
  </si>
  <si>
    <t>1007-634-O107</t>
  </si>
  <si>
    <t>Vlookup with Name range</t>
  </si>
  <si>
    <t>Order_ID</t>
  </si>
  <si>
    <r>
      <t xml:space="preserve">1. Find the </t>
    </r>
    <r>
      <rPr>
        <b/>
        <sz val="11"/>
        <color theme="1"/>
        <rFont val="Calibri"/>
        <family val="2"/>
        <scheme val="minor"/>
      </rPr>
      <t>Product_Name</t>
    </r>
    <r>
      <rPr>
        <sz val="11"/>
        <color theme="1"/>
        <rFont val="Calibri"/>
        <family val="2"/>
        <scheme val="minor"/>
      </rPr>
      <t xml:space="preserve"> for Product_ID 103.</t>
    </r>
  </si>
  <si>
    <r>
      <t xml:space="preserve">2. Find the </t>
    </r>
    <r>
      <rPr>
        <b/>
        <sz val="11"/>
        <color theme="1"/>
        <rFont val="Calibri"/>
        <family val="2"/>
        <scheme val="minor"/>
      </rPr>
      <t>Category</t>
    </r>
    <r>
      <rPr>
        <sz val="11"/>
        <color theme="1"/>
        <rFont val="Calibri"/>
        <family val="2"/>
        <scheme val="minor"/>
      </rPr>
      <t xml:space="preserve"> for Product_ID 109.</t>
    </r>
  </si>
  <si>
    <r>
      <t xml:space="preserve">3. Find the </t>
    </r>
    <r>
      <rPr>
        <b/>
        <sz val="11"/>
        <color theme="1"/>
        <rFont val="Calibri"/>
        <family val="2"/>
        <scheme val="minor"/>
      </rPr>
      <t>Price</t>
    </r>
    <r>
      <rPr>
        <sz val="11"/>
        <color theme="1"/>
        <rFont val="Calibri"/>
        <family val="2"/>
        <scheme val="minor"/>
      </rPr>
      <t xml:space="preserve"> for Product_ID 102.</t>
    </r>
  </si>
  <si>
    <r>
      <t xml:space="preserve">4. Find the </t>
    </r>
    <r>
      <rPr>
        <b/>
        <sz val="11"/>
        <color theme="1"/>
        <rFont val="Calibri"/>
        <family val="2"/>
        <scheme val="minor"/>
      </rPr>
      <t>Stock</t>
    </r>
    <r>
      <rPr>
        <sz val="11"/>
        <color theme="1"/>
        <rFont val="Calibri"/>
        <family val="2"/>
        <scheme val="minor"/>
      </rPr>
      <t xml:space="preserve"> for Product_ID 107.</t>
    </r>
  </si>
  <si>
    <t>Ramesh</t>
  </si>
  <si>
    <t>Neha</t>
  </si>
  <si>
    <t>Aman</t>
  </si>
  <si>
    <t>Pooja</t>
  </si>
  <si>
    <t>Priya</t>
  </si>
  <si>
    <t>Arjun</t>
  </si>
  <si>
    <t>Ravi</t>
  </si>
  <si>
    <t>Vikas</t>
  </si>
  <si>
    <t>Kiran</t>
  </si>
  <si>
    <t>Raj</t>
  </si>
  <si>
    <r>
      <t xml:space="preserve">5. Find the </t>
    </r>
    <r>
      <rPr>
        <b/>
        <sz val="11"/>
        <color theme="1"/>
        <rFont val="Calibri"/>
        <family val="2"/>
        <scheme val="minor"/>
      </rPr>
      <t>Customer_Name</t>
    </r>
    <r>
      <rPr>
        <sz val="11"/>
        <color theme="1"/>
        <rFont val="Calibri"/>
        <family val="2"/>
        <scheme val="minor"/>
      </rPr>
      <t xml:space="preserve"> for Product_ID 101.</t>
    </r>
  </si>
  <si>
    <r>
      <t xml:space="preserve">6. Find the </t>
    </r>
    <r>
      <rPr>
        <b/>
        <sz val="11"/>
        <color theme="1"/>
        <rFont val="Calibri"/>
        <family val="2"/>
        <scheme val="minor"/>
      </rPr>
      <t>Product_Name</t>
    </r>
    <r>
      <rPr>
        <sz val="11"/>
        <color theme="1"/>
        <rFont val="Calibri"/>
        <family val="2"/>
        <scheme val="minor"/>
      </rPr>
      <t xml:space="preserve"> for Product_ID 108.</t>
    </r>
  </si>
  <si>
    <r>
      <t xml:space="preserve">7. If Product_ID is not found (say 120), return </t>
    </r>
    <r>
      <rPr>
        <sz val="10"/>
        <color theme="1"/>
        <rFont val="Arial Unicode MS"/>
      </rPr>
      <t>"Not Found"</t>
    </r>
    <r>
      <rPr>
        <sz val="11"/>
        <color theme="1"/>
        <rFont val="Calibri"/>
        <family val="2"/>
        <scheme val="minor"/>
      </rPr>
      <t>.</t>
    </r>
  </si>
  <si>
    <r>
      <t xml:space="preserve">8. Find the </t>
    </r>
    <r>
      <rPr>
        <b/>
        <sz val="11"/>
        <color theme="1"/>
        <rFont val="Calibri"/>
        <family val="2"/>
        <scheme val="minor"/>
      </rPr>
      <t>Price</t>
    </r>
    <r>
      <rPr>
        <sz val="11"/>
        <color theme="1"/>
        <rFont val="Calibri"/>
        <family val="2"/>
        <scheme val="minor"/>
      </rPr>
      <t xml:space="preserve"> for Product_ID 110.</t>
    </r>
  </si>
  <si>
    <r>
      <t xml:space="preserve">9. Find the </t>
    </r>
    <r>
      <rPr>
        <b/>
        <sz val="11"/>
        <color theme="1"/>
        <rFont val="Calibri"/>
        <family val="2"/>
        <scheme val="minor"/>
      </rPr>
      <t>Category</t>
    </r>
    <r>
      <rPr>
        <sz val="11"/>
        <color theme="1"/>
        <rFont val="Calibri"/>
        <family val="2"/>
        <scheme val="minor"/>
      </rPr>
      <t xml:space="preserve"> for Product_ID 104.</t>
    </r>
  </si>
  <si>
    <t>Traditional Array Formulas (Ctrl+Shift+Enter)</t>
  </si>
  <si>
    <t>Dynamic Arrays: FILTER, UNIQUE, SORT</t>
  </si>
  <si>
    <t>Unit Price</t>
  </si>
  <si>
    <t>Pen</t>
  </si>
  <si>
    <t>Pencil</t>
  </si>
  <si>
    <t>Notebook</t>
  </si>
  <si>
    <t>Eraser</t>
  </si>
  <si>
    <t>Marker</t>
  </si>
  <si>
    <t>Scale</t>
  </si>
  <si>
    <t>Sharpener</t>
  </si>
  <si>
    <t>3. Difference</t>
  </si>
  <si>
    <t>Returns</t>
  </si>
  <si>
    <t>IFERROR</t>
  </si>
  <si>
    <t>Custom value if error, else normal value</t>
  </si>
  <si>
    <t>Best for replacing errors</t>
  </si>
  <si>
    <t>ISERROR</t>
  </si>
  <si>
    <t>TRUE/FALSE</t>
  </si>
  <si>
    <r>
      <t xml:space="preserve">Best for checking errors (often with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>)</t>
    </r>
  </si>
  <si>
    <t>IFERROR: =IFERROR(value, value_if_error)</t>
  </si>
  <si>
    <t>ISERROR: =ISERROR(value)</t>
  </si>
  <si>
    <t>Fruit</t>
  </si>
  <si>
    <t>🔹 1. INDEX Function</t>
  </si>
  <si>
    <t>Apple</t>
  </si>
  <si>
    <t>Banana</t>
  </si>
  <si>
    <r>
      <t>Purpose</t>
    </r>
    <r>
      <rPr>
        <sz val="11"/>
        <color theme="1"/>
        <rFont val="Calibri"/>
        <family val="2"/>
        <scheme val="minor"/>
      </rPr>
      <t xml:space="preserve">: Returns the value of a cell from a given range based on </t>
    </r>
    <r>
      <rPr>
        <b/>
        <sz val="11"/>
        <color theme="1"/>
        <rFont val="Calibri"/>
        <family val="2"/>
        <scheme val="minor"/>
      </rPr>
      <t>row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column number</t>
    </r>
    <r>
      <rPr>
        <sz val="11"/>
        <color theme="1"/>
        <rFont val="Calibri"/>
        <family val="2"/>
        <scheme val="minor"/>
      </rPr>
      <t>.</t>
    </r>
  </si>
  <si>
    <t>Mango</t>
  </si>
  <si>
    <t>=INDEX(array, row_num, [column_num])</t>
  </si>
  <si>
    <t>Grapes</t>
  </si>
  <si>
    <t>Orange</t>
  </si>
  <si>
    <t>🔹 2. MATCH Function</t>
  </si>
  <si>
    <r>
      <t>Purpose</t>
    </r>
    <r>
      <rPr>
        <sz val="11"/>
        <color theme="1"/>
        <rFont val="Calibri"/>
        <family val="2"/>
        <scheme val="minor"/>
      </rPr>
      <t xml:space="preserve">: Returns the </t>
    </r>
    <r>
      <rPr>
        <b/>
        <sz val="11"/>
        <color theme="1"/>
        <rFont val="Calibri"/>
        <family val="2"/>
        <scheme val="minor"/>
      </rPr>
      <t>position (row or column number)</t>
    </r>
    <r>
      <rPr>
        <sz val="11"/>
        <color theme="1"/>
        <rFont val="Calibri"/>
        <family val="2"/>
        <scheme val="minor"/>
      </rPr>
      <t xml:space="preserve"> of a value in a range.</t>
    </r>
  </si>
  <si>
    <t>=MATCH(lookup_value, lookup_array, [match_type])</t>
  </si>
  <si>
    <t>EMP ID</t>
  </si>
  <si>
    <t>Name</t>
  </si>
  <si>
    <t>Department</t>
  </si>
  <si>
    <t>Salary</t>
  </si>
  <si>
    <t>Rahul</t>
  </si>
  <si>
    <t>HR</t>
  </si>
  <si>
    <t>Finance</t>
  </si>
  <si>
    <t>Amit</t>
  </si>
  <si>
    <t>IT</t>
  </si>
  <si>
    <t>Sneha</t>
  </si>
  <si>
    <t>Marketing</t>
  </si>
  <si>
    <t>Karan</t>
  </si>
  <si>
    <t>Number1</t>
  </si>
  <si>
    <t>Number2</t>
  </si>
  <si>
    <t>LookupValue</t>
  </si>
  <si>
    <t>Questions (for students)</t>
  </si>
  <si>
    <r>
      <t xml:space="preserve">1. Divide </t>
    </r>
    <r>
      <rPr>
        <sz val="10"/>
        <color theme="1"/>
        <rFont val="Arial Unicode MS"/>
      </rPr>
      <t>Number1</t>
    </r>
    <r>
      <rPr>
        <sz val="11"/>
        <color theme="1"/>
        <rFont val="Calibri"/>
        <family val="2"/>
        <scheme val="minor"/>
      </rPr>
      <t xml:space="preserve"> by </t>
    </r>
    <r>
      <rPr>
        <sz val="10"/>
        <color theme="1"/>
        <rFont val="Arial Unicode MS"/>
      </rPr>
      <t>Number2</t>
    </r>
    <r>
      <rPr>
        <sz val="11"/>
        <color theme="1"/>
        <rFont val="Calibri"/>
        <family val="2"/>
        <scheme val="minor"/>
      </rPr>
      <t xml:space="preserve">. Show result, but if error occurs show </t>
    </r>
    <r>
      <rPr>
        <sz val="10"/>
        <color theme="1"/>
        <rFont val="Arial Unicode MS"/>
      </rPr>
      <t>"Error"</t>
    </r>
    <r>
      <rPr>
        <sz val="11"/>
        <color theme="1"/>
        <rFont val="Calibri"/>
        <family val="2"/>
        <scheme val="minor"/>
      </rPr>
      <t>.</t>
    </r>
  </si>
  <si>
    <r>
      <t xml:space="preserve">2. Divide </t>
    </r>
    <r>
      <rPr>
        <sz val="10"/>
        <color theme="1"/>
        <rFont val="Arial Unicode MS"/>
      </rPr>
      <t>Number1</t>
    </r>
    <r>
      <rPr>
        <sz val="11"/>
        <color theme="1"/>
        <rFont val="Calibri"/>
        <family val="2"/>
        <scheme val="minor"/>
      </rPr>
      <t xml:space="preserve"> by </t>
    </r>
    <r>
      <rPr>
        <sz val="10"/>
        <color theme="1"/>
        <rFont val="Arial Unicode MS"/>
      </rPr>
      <t>Number2</t>
    </r>
    <r>
      <rPr>
        <sz val="11"/>
        <color theme="1"/>
        <rFont val="Calibri"/>
        <family val="2"/>
        <scheme val="minor"/>
      </rPr>
      <t xml:space="preserve">. If error, show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instead of error.</t>
    </r>
  </si>
  <si>
    <r>
      <t xml:space="preserve">3. Check if </t>
    </r>
    <r>
      <rPr>
        <sz val="10"/>
        <color theme="1"/>
        <rFont val="Arial Unicode MS"/>
      </rPr>
      <t>Number1/Number2</t>
    </r>
    <r>
      <rPr>
        <sz val="11"/>
        <color theme="1"/>
        <rFont val="Calibri"/>
        <family val="2"/>
        <scheme val="minor"/>
      </rPr>
      <t xml:space="preserve"> has an error.</t>
    </r>
  </si>
  <si>
    <r>
      <t xml:space="preserve">4. If </t>
    </r>
    <r>
      <rPr>
        <sz val="10"/>
        <color theme="1"/>
        <rFont val="Arial Unicode MS"/>
      </rPr>
      <t>Number1/Number2</t>
    </r>
    <r>
      <rPr>
        <sz val="11"/>
        <color theme="1"/>
        <rFont val="Calibri"/>
        <family val="2"/>
        <scheme val="minor"/>
      </rPr>
      <t xml:space="preserve"> has error, show </t>
    </r>
    <r>
      <rPr>
        <sz val="10"/>
        <color theme="1"/>
        <rFont val="Arial Unicode MS"/>
      </rPr>
      <t>"Invalid Division"</t>
    </r>
    <r>
      <rPr>
        <sz val="11"/>
        <color theme="1"/>
        <rFont val="Calibri"/>
        <family val="2"/>
        <scheme val="minor"/>
      </rPr>
      <t>, else show the result.</t>
    </r>
  </si>
  <si>
    <r>
      <t xml:space="preserve">5. Perform a VLOOKUP for </t>
    </r>
    <r>
      <rPr>
        <sz val="10"/>
        <color theme="1"/>
        <rFont val="Arial Unicode MS"/>
      </rPr>
      <t>LookupValue</t>
    </r>
    <r>
      <rPr>
        <sz val="11"/>
        <color theme="1"/>
        <rFont val="Calibri"/>
        <family val="2"/>
        <scheme val="minor"/>
      </rPr>
      <t xml:space="preserve"> from </t>
    </r>
    <r>
      <rPr>
        <sz val="10"/>
        <color theme="1"/>
        <rFont val="Arial Unicode MS"/>
      </rPr>
      <t>FruitPrices</t>
    </r>
    <r>
      <rPr>
        <sz val="11"/>
        <color theme="1"/>
        <rFont val="Calibri"/>
        <family val="2"/>
        <scheme val="minor"/>
      </rPr>
      <t xml:space="preserve"> sheet. If not found, show </t>
    </r>
    <r>
      <rPr>
        <sz val="10"/>
        <color theme="1"/>
        <rFont val="Arial Unicode MS"/>
      </rPr>
      <t>"Not Found"</t>
    </r>
    <r>
      <rPr>
        <sz val="11"/>
        <color theme="1"/>
        <rFont val="Calibri"/>
        <family val="2"/>
        <scheme val="minor"/>
      </rPr>
      <t>.</t>
    </r>
  </si>
  <si>
    <t>=IFERROR(VLOOKUP(C2,FruitPrices!A:B,2,FALSE),"Not Found")</t>
  </si>
  <si>
    <t>Pineapple</t>
  </si>
  <si>
    <r>
      <t xml:space="preserve">6. Perform a VLOOKUP for </t>
    </r>
    <r>
      <rPr>
        <sz val="10"/>
        <color theme="1"/>
        <rFont val="Arial Unicode MS"/>
      </rPr>
      <t>LookupValue</t>
    </r>
    <r>
      <rPr>
        <sz val="11"/>
        <color theme="1"/>
        <rFont val="Calibri"/>
        <family val="2"/>
        <scheme val="minor"/>
      </rPr>
      <t xml:space="preserve"> from </t>
    </r>
    <r>
      <rPr>
        <sz val="10"/>
        <color theme="1"/>
        <rFont val="Arial Unicode MS"/>
      </rPr>
      <t>FruitPrices</t>
    </r>
    <r>
      <rPr>
        <sz val="11"/>
        <color theme="1"/>
        <rFont val="Calibri"/>
        <family val="2"/>
        <scheme val="minor"/>
      </rPr>
      <t xml:space="preserve"> sheet. If error, show </t>
    </r>
    <r>
      <rPr>
        <sz val="10"/>
        <color theme="1"/>
        <rFont val="Arial Unicode MS"/>
      </rPr>
      <t>0</t>
    </r>
    <r>
      <rPr>
        <sz val="11"/>
        <color theme="1"/>
        <rFont val="Calibri"/>
        <family val="2"/>
        <scheme val="minor"/>
      </rPr>
      <t>.</t>
    </r>
  </si>
  <si>
    <t>Kiwi</t>
  </si>
  <si>
    <r>
      <t xml:space="preserve">7. Check if VLOOKUP for </t>
    </r>
    <r>
      <rPr>
        <sz val="10"/>
        <color theme="1"/>
        <rFont val="Arial Unicode MS"/>
      </rPr>
      <t>LookupValue</t>
    </r>
    <r>
      <rPr>
        <sz val="11"/>
        <color theme="1"/>
        <rFont val="Calibri"/>
        <family val="2"/>
        <scheme val="minor"/>
      </rPr>
      <t xml:space="preserve"> returns error (TRUE/FALSE).</t>
    </r>
  </si>
  <si>
    <t>Papaya</t>
  </si>
  <si>
    <r>
      <t xml:space="preserve">8. If </t>
    </r>
    <r>
      <rPr>
        <sz val="10"/>
        <color theme="1"/>
        <rFont val="Arial Unicode MS"/>
      </rPr>
      <t>Number1</t>
    </r>
    <r>
      <rPr>
        <sz val="11"/>
        <color theme="1"/>
        <rFont val="Calibri"/>
        <family val="2"/>
        <scheme val="minor"/>
      </rPr>
      <t xml:space="preserve"> is blank, show </t>
    </r>
    <r>
      <rPr>
        <sz val="10"/>
        <color theme="1"/>
        <rFont val="Arial Unicode MS"/>
      </rPr>
      <t>"Missing Data"</t>
    </r>
    <r>
      <rPr>
        <sz val="11"/>
        <color theme="1"/>
        <rFont val="Calibri"/>
        <family val="2"/>
        <scheme val="minor"/>
      </rPr>
      <t xml:space="preserve">, else divide </t>
    </r>
    <r>
      <rPr>
        <sz val="10"/>
        <color theme="1"/>
        <rFont val="Arial Unicode MS"/>
      </rPr>
      <t>Number1/Number2</t>
    </r>
    <r>
      <rPr>
        <sz val="11"/>
        <color theme="1"/>
        <rFont val="Calibri"/>
        <family val="2"/>
        <scheme val="minor"/>
      </rPr>
      <t xml:space="preserve"> (handle error).</t>
    </r>
  </si>
  <si>
    <t>Berry</t>
  </si>
  <si>
    <r>
      <t xml:space="preserve">9. Add 100 to the VLOOKUP price of </t>
    </r>
    <r>
      <rPr>
        <sz val="10"/>
        <color theme="1"/>
        <rFont val="Arial Unicode MS"/>
      </rPr>
      <t>LookupValue</t>
    </r>
    <r>
      <rPr>
        <sz val="11"/>
        <color theme="1"/>
        <rFont val="Calibri"/>
        <family val="2"/>
        <scheme val="minor"/>
      </rPr>
      <t xml:space="preserve">. If not found, show </t>
    </r>
    <r>
      <rPr>
        <sz val="10"/>
        <color theme="1"/>
        <rFont val="Arial Unicode MS"/>
      </rPr>
      <t>"No Price"</t>
    </r>
    <r>
      <rPr>
        <sz val="11"/>
        <color theme="1"/>
        <rFont val="Calibri"/>
        <family val="2"/>
        <scheme val="minor"/>
      </rPr>
      <t>.</t>
    </r>
  </si>
  <si>
    <t>Melon</t>
  </si>
  <si>
    <r>
      <t xml:space="preserve">10. Multiply </t>
    </r>
    <r>
      <rPr>
        <sz val="10"/>
        <color theme="1"/>
        <rFont val="Arial Unicode MS"/>
      </rPr>
      <t>Number1</t>
    </r>
    <r>
      <rPr>
        <sz val="11"/>
        <color theme="1"/>
        <rFont val="Calibri"/>
        <family val="2"/>
        <scheme val="minor"/>
      </rPr>
      <t xml:space="preserve"> by </t>
    </r>
    <r>
      <rPr>
        <sz val="10"/>
        <color theme="1"/>
        <rFont val="Arial Unicode MS"/>
      </rPr>
      <t>Number2</t>
    </r>
    <r>
      <rPr>
        <sz val="11"/>
        <color theme="1"/>
        <rFont val="Calibri"/>
        <family val="2"/>
        <scheme val="minor"/>
      </rPr>
      <t xml:space="preserve">. If error, show </t>
    </r>
    <r>
      <rPr>
        <sz val="10"/>
        <color theme="1"/>
        <rFont val="Arial Unicode MS"/>
      </rPr>
      <t>"Error in Calculation"</t>
    </r>
    <r>
      <rPr>
        <sz val="11"/>
        <color theme="1"/>
        <rFont val="Calibri"/>
        <family val="2"/>
        <scheme val="minor"/>
      </rPr>
      <t>.</t>
    </r>
  </si>
  <si>
    <t>🔹 Solved Formulas &amp; Answers</t>
  </si>
  <si>
    <r>
      <t xml:space="preserve">👉 If 20/0 → </t>
    </r>
    <r>
      <rPr>
        <b/>
        <sz val="11"/>
        <color theme="1"/>
        <rFont val="Calibri"/>
        <family val="2"/>
        <scheme val="minor"/>
      </rPr>
      <t>"Error"</t>
    </r>
    <r>
      <rPr>
        <sz val="11"/>
        <color theme="1"/>
        <rFont val="Calibri"/>
        <family val="2"/>
        <scheme val="minor"/>
      </rPr>
      <t xml:space="preserve">, if 20/2 → </t>
    </r>
    <r>
      <rPr>
        <b/>
        <sz val="11"/>
        <color theme="1"/>
        <rFont val="Calibri"/>
        <family val="2"/>
        <scheme val="minor"/>
      </rPr>
      <t>10</t>
    </r>
  </si>
  <si>
    <t>=IFERROR(A2/B2,0)</t>
  </si>
  <si>
    <r>
      <t xml:space="preserve">👉 If 50/0 →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, if 50/10 → </t>
    </r>
    <r>
      <rPr>
        <b/>
        <sz val="11"/>
        <color theme="1"/>
        <rFont val="Calibri"/>
        <family val="2"/>
        <scheme val="minor"/>
      </rPr>
      <t>5</t>
    </r>
  </si>
  <si>
    <t>=ISERROR(A2/B2)</t>
  </si>
  <si>
    <r>
      <t xml:space="preserve">👉 If 40/0 → </t>
    </r>
    <r>
      <rPr>
        <b/>
        <sz val="11"/>
        <color theme="1"/>
        <rFont val="Calibri"/>
        <family val="2"/>
        <scheme val="minor"/>
      </rPr>
      <t>TRUE</t>
    </r>
    <r>
      <rPr>
        <sz val="11"/>
        <color theme="1"/>
        <rFont val="Calibri"/>
        <family val="2"/>
        <scheme val="minor"/>
      </rPr>
      <t xml:space="preserve">, if 40/20 → </t>
    </r>
    <r>
      <rPr>
        <b/>
        <sz val="11"/>
        <color theme="1"/>
        <rFont val="Calibri"/>
        <family val="2"/>
        <scheme val="minor"/>
      </rPr>
      <t>FALSE</t>
    </r>
  </si>
  <si>
    <t>=IF(ISERROR(A2/B2),"Invalid Division",A2/B2)</t>
  </si>
  <si>
    <r>
      <t xml:space="preserve">👉 If 30/0 → </t>
    </r>
    <r>
      <rPr>
        <b/>
        <sz val="11"/>
        <color theme="1"/>
        <rFont val="Calibri"/>
        <family val="2"/>
        <scheme val="minor"/>
      </rPr>
      <t>"Invalid Division"</t>
    </r>
    <r>
      <rPr>
        <sz val="11"/>
        <color theme="1"/>
        <rFont val="Calibri"/>
        <family val="2"/>
        <scheme val="minor"/>
      </rPr>
      <t xml:space="preserve">, if 30/5 → </t>
    </r>
    <r>
      <rPr>
        <b/>
        <sz val="11"/>
        <color theme="1"/>
        <rFont val="Calibri"/>
        <family val="2"/>
        <scheme val="minor"/>
      </rPr>
      <t>6</t>
    </r>
  </si>
  <si>
    <r>
      <t xml:space="preserve">👉 If </t>
    </r>
    <r>
      <rPr>
        <sz val="10"/>
        <color theme="1"/>
        <rFont val="Arial Unicode MS"/>
      </rPr>
      <t>"Apple"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 xml:space="preserve">, if </t>
    </r>
    <r>
      <rPr>
        <sz val="10"/>
        <color theme="1"/>
        <rFont val="Arial Unicode MS"/>
      </rPr>
      <t>"Papaya"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"Not Found"</t>
    </r>
  </si>
  <si>
    <t>=IFERROR(VLOOKUP(C2,FruitPrices!A:B,2,FALSE),0)</t>
  </si>
  <si>
    <r>
      <t xml:space="preserve">👉 If </t>
    </r>
    <r>
      <rPr>
        <sz val="10"/>
        <color theme="1"/>
        <rFont val="Arial Unicode MS"/>
      </rPr>
      <t>"Banana"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, if </t>
    </r>
    <r>
      <rPr>
        <sz val="10"/>
        <color theme="1"/>
        <rFont val="Arial Unicode MS"/>
      </rPr>
      <t>"Kiwi"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0</t>
    </r>
  </si>
  <si>
    <t>=ISERROR(VLOOKUP(C2,FruitPrices!A:B,2,FALSE))</t>
  </si>
  <si>
    <r>
      <t xml:space="preserve">👉 If </t>
    </r>
    <r>
      <rPr>
        <sz val="10"/>
        <color theme="1"/>
        <rFont val="Arial Unicode MS"/>
      </rPr>
      <t>"Mango"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FALSE</t>
    </r>
    <r>
      <rPr>
        <sz val="11"/>
        <color theme="1"/>
        <rFont val="Calibri"/>
        <family val="2"/>
        <scheme val="minor"/>
      </rPr>
      <t xml:space="preserve">, if </t>
    </r>
    <r>
      <rPr>
        <sz val="10"/>
        <color theme="1"/>
        <rFont val="Arial Unicode MS"/>
      </rPr>
      <t>"Melon"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TRUE</t>
    </r>
  </si>
  <si>
    <r>
      <t xml:space="preserve">👉 If </t>
    </r>
    <r>
      <rPr>
        <sz val="10"/>
        <color theme="1"/>
        <rFont val="Arial Unicode MS"/>
      </rPr>
      <t>Number1</t>
    </r>
    <r>
      <rPr>
        <sz val="11"/>
        <color theme="1"/>
        <rFont val="Calibri"/>
        <family val="2"/>
        <scheme val="minor"/>
      </rPr>
      <t xml:space="preserve"> blank → </t>
    </r>
    <r>
      <rPr>
        <b/>
        <sz val="11"/>
        <color theme="1"/>
        <rFont val="Calibri"/>
        <family val="2"/>
        <scheme val="minor"/>
      </rPr>
      <t>"Missing Data"</t>
    </r>
  </si>
  <si>
    <r>
      <t xml:space="preserve">👉 If </t>
    </r>
    <r>
      <rPr>
        <sz val="10"/>
        <color theme="1"/>
        <rFont val="Arial Unicode MS"/>
      </rPr>
      <t>60/0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"Error"</t>
    </r>
  </si>
  <si>
    <r>
      <t xml:space="preserve">👉 If </t>
    </r>
    <r>
      <rPr>
        <sz val="10"/>
        <color theme="1"/>
        <rFont val="Arial Unicode MS"/>
      </rPr>
      <t>60/20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3</t>
    </r>
  </si>
  <si>
    <t>=IFERROR(VLOOKUP(C2,FruitPrices!A:B,2,FALSE)+100,"No Price")</t>
  </si>
  <si>
    <r>
      <t xml:space="preserve">👉 If </t>
    </r>
    <r>
      <rPr>
        <sz val="10"/>
        <color theme="1"/>
        <rFont val="Arial Unicode MS"/>
      </rPr>
      <t>"Orange"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130</t>
    </r>
    <r>
      <rPr>
        <sz val="11"/>
        <color theme="1"/>
        <rFont val="Calibri"/>
        <family val="2"/>
        <scheme val="minor"/>
      </rPr>
      <t xml:space="preserve">, if </t>
    </r>
    <r>
      <rPr>
        <sz val="10"/>
        <color theme="1"/>
        <rFont val="Arial Unicode MS"/>
      </rPr>
      <t>"Berry"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"No Price"</t>
    </r>
  </si>
  <si>
    <t>=IFERROR(A2*B2,"Error in Calculation")</t>
  </si>
  <si>
    <r>
      <t xml:space="preserve">👉 If </t>
    </r>
    <r>
      <rPr>
        <sz val="10"/>
        <color theme="1"/>
        <rFont val="Arial Unicode MS"/>
      </rPr>
      <t>100*0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, if </t>
    </r>
    <r>
      <rPr>
        <sz val="10"/>
        <color theme="1"/>
        <rFont val="Arial Unicode MS"/>
      </rPr>
      <t>100*Blank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"Error in Calculation"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</si>
</sst>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7" fillId="4" borderId="0" applyNumberFormat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quotePrefix="1" applyFont="1" applyAlignment="1">
      <alignment vertical="center"/>
    </xf>
    <xf numFmtId="0" fontId="0" fillId="2" borderId="0" xfId="0" applyFill="1"/>
    <xf numFmtId="0" fontId="5" fillId="3" borderId="1" xfId="0" applyFont="1" applyFill="1" applyBorder="1" applyAlignment="1">
      <alignment vertical="center"/>
    </xf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horizontal="center" vertical="top"/>
    </xf>
    <xf numFmtId="0" fontId="2" fillId="2" borderId="0" xfId="0" applyFont="1" applyFill="1"/>
    <xf numFmtId="0" fontId="7" fillId="4" borderId="0" xfId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8" fillId="0" borderId="0" xfId="0" applyFont="1"/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60% - Accent3" xfId="1" builtinId="40"/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434340</xdr:colOff>
      <xdr:row>1</xdr:row>
      <xdr:rowOff>99060</xdr:rowOff>
    </xdr:from>
    <xdr:to>
      <xdr:col>12</xdr:col>
      <xdr:colOff>304800</xdr:colOff>
      <xdr:row>7</xdr:row>
      <xdr:rowOff>83820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73B4D1D-BFF6-B483-0478-7DB7ADDD374F}"/>
            </a:ext>
          </a:extLst>
        </xdr:cNvPr>
        <xdr:cNvSpPr/>
      </xdr:nvSpPr>
      <xdr:spPr>
        <a:xfrm>
          <a:off x="7665720" y="281940"/>
          <a:ext cx="4747260" cy="171450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400" b="1"/>
            <a:t>Syntax Details:</a:t>
          </a:r>
        </a:p>
        <a:p>
          <a:r>
            <a:rPr lang="en-IN" sz="1200" b="1"/>
            <a:t>lookup_value</a:t>
          </a:r>
          <a:r>
            <a:rPr lang="en-IN" sz="1200"/>
            <a:t> → The value you want to search for (e.g., Employee ID).</a:t>
          </a:r>
        </a:p>
        <a:p>
          <a:r>
            <a:rPr lang="en-IN" sz="1200" b="1"/>
            <a:t>table_array</a:t>
          </a:r>
          <a:r>
            <a:rPr lang="en-IN" sz="1200"/>
            <a:t> → The table range where Excel will search (make sure the first column contains the lookup values).</a:t>
          </a:r>
        </a:p>
        <a:p>
          <a:r>
            <a:rPr lang="en-IN" sz="1200" b="1"/>
            <a:t>col_index_num</a:t>
          </a:r>
          <a:r>
            <a:rPr lang="en-IN" sz="1200"/>
            <a:t> → The column number in the table from which to return a value.</a:t>
          </a:r>
        </a:p>
        <a:p>
          <a:r>
            <a:rPr lang="en-IN" sz="1200" b="1"/>
            <a:t>[range_lookup]</a:t>
          </a:r>
          <a:r>
            <a:rPr lang="en-IN" sz="1200"/>
            <a:t> → TRUE (approximate match) or FALSE (exact match).</a:t>
          </a:r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304800</xdr:colOff>
      <xdr:row>7</xdr:row>
      <xdr:rowOff>144780</xdr:rowOff>
    </xdr:from>
    <xdr:to>
      <xdr:col>2</xdr:col>
      <xdr:colOff>2796540</xdr:colOff>
      <xdr:row>18</xdr:row>
      <xdr:rowOff>38100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BD0F068-A6D8-83C2-CF48-37459FAEE722}"/>
            </a:ext>
          </a:extLst>
        </xdr:cNvPr>
        <xdr:cNvSpPr/>
      </xdr:nvSpPr>
      <xdr:spPr>
        <a:xfrm>
          <a:off x="304800" y="2057400"/>
          <a:ext cx="3802380" cy="190500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 b="1"/>
            <a:t>Examples:</a:t>
          </a:r>
        </a:p>
        <a:p>
          <a:r>
            <a:rPr lang="en-IN" sz="1200"/>
            <a:t>=VLOOKUP(101, A2:D10, 2, FALSE)</a:t>
          </a:r>
          <a:br>
            <a:rPr lang="en-IN" sz="1200"/>
          </a:br>
          <a:r>
            <a:rPr lang="en-IN" sz="1200"/>
            <a:t>→ Looks for Employee ID </a:t>
          </a:r>
          <a:r>
            <a:rPr lang="en-IN" sz="1200" b="1"/>
            <a:t>101</a:t>
          </a:r>
          <a:r>
            <a:rPr lang="en-IN" sz="1200"/>
            <a:t> in the first column of A2:D10, and returns the value from </a:t>
          </a:r>
          <a:r>
            <a:rPr lang="en-IN" sz="1200" b="1"/>
            <a:t>column 2</a:t>
          </a:r>
          <a:r>
            <a:rPr lang="en-IN" sz="1200"/>
            <a:t> of that range.</a:t>
          </a:r>
        </a:p>
        <a:p>
          <a:endParaRPr lang="en-IN" sz="1200"/>
        </a:p>
        <a:p>
          <a:r>
            <a:rPr lang="en-IN" sz="1200"/>
            <a:t>=VLOOKUP("Laptop", A2:C20, 3, TRUE)</a:t>
          </a:r>
          <a:br>
            <a:rPr lang="en-IN" sz="1200"/>
          </a:br>
          <a:r>
            <a:rPr lang="en-IN" sz="1200"/>
            <a:t>→ Finds </a:t>
          </a:r>
          <a:r>
            <a:rPr lang="en-IN" sz="1200" b="1"/>
            <a:t>Laptop</a:t>
          </a:r>
          <a:r>
            <a:rPr lang="en-IN" sz="1200"/>
            <a:t> in the first column of A2:C20 and returns value from </a:t>
          </a:r>
          <a:r>
            <a:rPr lang="en-IN" sz="1200" b="1"/>
            <a:t>column 3</a:t>
          </a:r>
          <a:r>
            <a:rPr lang="en-IN" sz="1200"/>
            <a:t> (approximate match).</a:t>
          </a:r>
        </a:p>
        <a:p>
          <a:pPr algn="l"/>
          <a:endParaRPr lang="en-IN" sz="1100"/>
        </a:p>
      </xdr:txBody>
    </xdr:sp>
    <xdr:clientData/>
  </xdr:twoCellAnchor>
  <xdr:twoCellAnchor>
    <xdr:from>
      <xdr:col>2</xdr:col>
      <xdr:colOff>3223260</xdr:colOff>
      <xdr:row>9</xdr:row>
      <xdr:rowOff>129540</xdr:rowOff>
    </xdr:from>
    <xdr:to>
      <xdr:col>3</xdr:col>
      <xdr:colOff>2034540</xdr:colOff>
      <xdr:row>16</xdr:row>
      <xdr:rowOff>121920</xdr:rowOff>
    </xdr:to>
    <xdr:sp macro="" textlink="">
      <xdr:nvSpPr>
        <xdr:cNvPr id="4" name="Rectangle: Folded Corner 3">
          <a:extLst>
            <a:ext uri="{FF2B5EF4-FFF2-40B4-BE49-F238E27FC236}">
              <a16:creationId xmlns:a16="http://schemas.microsoft.com/office/drawing/2014/main" id="{ED9DB9A1-9CD0-995F-5ED3-FCF0C9DF8C11}"/>
            </a:ext>
          </a:extLst>
        </xdr:cNvPr>
        <xdr:cNvSpPr/>
      </xdr:nvSpPr>
      <xdr:spPr>
        <a:xfrm>
          <a:off x="4533900" y="2407920"/>
          <a:ext cx="2674620" cy="1272540"/>
        </a:xfrm>
        <a:prstGeom prst="foldedCorne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/>
            <a:t>⚡ </a:t>
          </a:r>
          <a:r>
            <a:rPr lang="en-IN" sz="1200" b="1"/>
            <a:t>Pro Tip:</a:t>
          </a:r>
          <a:br>
            <a:rPr lang="en-IN" sz="1200"/>
          </a:br>
          <a:r>
            <a:rPr lang="en-IN" sz="1200"/>
            <a:t>VLOOKUP only searches </a:t>
          </a:r>
          <a:r>
            <a:rPr lang="en-IN" sz="1200" b="1"/>
            <a:t>left to right</a:t>
          </a:r>
          <a:r>
            <a:rPr lang="en-IN" sz="1200"/>
            <a:t>. If you need a lookup in both directions (left + right), use </a:t>
          </a:r>
          <a:r>
            <a:rPr lang="en-IN" sz="1200" b="1"/>
            <a:t>INDEX + MATCH</a:t>
          </a:r>
          <a:r>
            <a:rPr lang="en-IN" sz="1200"/>
            <a:t> or </a:t>
          </a:r>
          <a:r>
            <a:rPr lang="en-IN" sz="1200" b="1"/>
            <a:t>XLOOKUP</a:t>
          </a:r>
          <a:r>
            <a:rPr lang="en-IN" sz="1200"/>
            <a:t> (in newer Excel).</a:t>
          </a:r>
        </a:p>
      </xdr:txBody>
    </xdr:sp>
    <xdr:clientData/>
  </xdr:twoCellAnchor>
  <xdr:twoCellAnchor>
    <xdr:from>
      <xdr:col>5</xdr:col>
      <xdr:colOff>0</xdr:colOff>
      <xdr:row>23</xdr:row>
      <xdr:rowOff>0</xdr:rowOff>
    </xdr:from>
    <xdr:to>
      <xdr:col>12</xdr:col>
      <xdr:colOff>480060</xdr:colOff>
      <xdr:row>33</xdr:row>
      <xdr:rowOff>121920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89161E2-7010-4328-970F-F5B8E7A2B6FE}"/>
            </a:ext>
          </a:extLst>
        </xdr:cNvPr>
        <xdr:cNvSpPr/>
      </xdr:nvSpPr>
      <xdr:spPr>
        <a:xfrm>
          <a:off x="7840980" y="4922520"/>
          <a:ext cx="4747260" cy="227076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400" b="1"/>
            <a:t>Syntax Details:</a:t>
          </a:r>
        </a:p>
        <a:p>
          <a:r>
            <a:rPr lang="en-IN" sz="1400" b="1"/>
            <a:t>lookup_value</a:t>
          </a:r>
          <a:r>
            <a:rPr lang="en-IN" sz="1400"/>
            <a:t> → The value you want to search for (e.g., Product Name).</a:t>
          </a:r>
        </a:p>
        <a:p>
          <a:r>
            <a:rPr lang="en-IN" sz="1400" b="1"/>
            <a:t>table_array</a:t>
          </a:r>
          <a:r>
            <a:rPr lang="en-IN" sz="1400"/>
            <a:t> → The table range where Excel will search (make sure the </a:t>
          </a:r>
          <a:r>
            <a:rPr lang="en-IN" sz="1400" b="1"/>
            <a:t>first row</a:t>
          </a:r>
          <a:r>
            <a:rPr lang="en-IN" sz="1400"/>
            <a:t> contains the lookup values).</a:t>
          </a:r>
        </a:p>
        <a:p>
          <a:r>
            <a:rPr lang="en-IN" sz="1400" b="1"/>
            <a:t>row_index_num</a:t>
          </a:r>
          <a:r>
            <a:rPr lang="en-IN" sz="1400"/>
            <a:t> → The row number in the table from which to return a value.</a:t>
          </a:r>
        </a:p>
        <a:p>
          <a:r>
            <a:rPr lang="en-IN" sz="1400" b="1"/>
            <a:t>[range_lookup]</a:t>
          </a:r>
          <a:r>
            <a:rPr lang="en-IN" sz="1400"/>
            <a:t> → TRUE (approximate match) or FALSE (exact match).</a:t>
          </a:r>
        </a:p>
      </xdr:txBody>
    </xdr:sp>
    <xdr:clientData/>
  </xdr:twoCellAnchor>
  <xdr:twoCellAnchor>
    <xdr:from>
      <xdr:col>0</xdr:col>
      <xdr:colOff>175260</xdr:colOff>
      <xdr:row>27</xdr:row>
      <xdr:rowOff>60960</xdr:rowOff>
    </xdr:from>
    <xdr:to>
      <xdr:col>2</xdr:col>
      <xdr:colOff>2667000</xdr:colOff>
      <xdr:row>36</xdr:row>
      <xdr:rowOff>7620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1AEDA22-E234-4E6E-849E-9C69033356DA}"/>
            </a:ext>
          </a:extLst>
        </xdr:cNvPr>
        <xdr:cNvSpPr/>
      </xdr:nvSpPr>
      <xdr:spPr>
        <a:xfrm>
          <a:off x="175260" y="6035040"/>
          <a:ext cx="3802380" cy="159258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 b="1"/>
            <a:t>Examples:</a:t>
          </a:r>
        </a:p>
        <a:p>
          <a:r>
            <a:rPr lang="en-IN" sz="1200"/>
            <a:t>=HLOOKUP("Q1", A1:F5, 3, FALSE)</a:t>
          </a:r>
          <a:br>
            <a:rPr lang="en-IN" sz="1200"/>
          </a:br>
          <a:r>
            <a:rPr lang="en-IN" sz="1200"/>
            <a:t>→ Finds </a:t>
          </a:r>
          <a:r>
            <a:rPr lang="en-IN" sz="1200" b="1"/>
            <a:t>Q1</a:t>
          </a:r>
          <a:r>
            <a:rPr lang="en-IN" sz="1200"/>
            <a:t> in the </a:t>
          </a:r>
          <a:r>
            <a:rPr lang="en-IN" sz="1200" b="1"/>
            <a:t>first row</a:t>
          </a:r>
          <a:r>
            <a:rPr lang="en-IN" sz="1200"/>
            <a:t> (A1:F1) and returns the value from the </a:t>
          </a:r>
          <a:r>
            <a:rPr lang="en-IN" sz="1200" b="1"/>
            <a:t>3rd row</a:t>
          </a:r>
          <a:r>
            <a:rPr lang="en-IN" sz="1200"/>
            <a:t> in that column.</a:t>
          </a:r>
        </a:p>
        <a:p>
          <a:r>
            <a:rPr lang="en-IN" sz="1200"/>
            <a:t>=HLOOKUP(2023, A1:H10, 5, TRUE)</a:t>
          </a:r>
          <a:br>
            <a:rPr lang="en-IN" sz="1200"/>
          </a:br>
          <a:r>
            <a:rPr lang="en-IN" sz="1200"/>
            <a:t>→ Finds </a:t>
          </a:r>
          <a:r>
            <a:rPr lang="en-IN" sz="1200" b="1"/>
            <a:t>2023</a:t>
          </a:r>
          <a:r>
            <a:rPr lang="en-IN" sz="1200"/>
            <a:t> in the first row and returns the value from the </a:t>
          </a:r>
          <a:r>
            <a:rPr lang="en-IN" sz="1200" b="1"/>
            <a:t>5th row</a:t>
          </a:r>
          <a:r>
            <a:rPr lang="en-IN" sz="1200"/>
            <a:t> (approximate match).</a:t>
          </a:r>
        </a:p>
      </xdr:txBody>
    </xdr:sp>
    <xdr:clientData/>
  </xdr:twoCellAnchor>
  <xdr:twoCellAnchor>
    <xdr:from>
      <xdr:col>2</xdr:col>
      <xdr:colOff>3268980</xdr:colOff>
      <xdr:row>26</xdr:row>
      <xdr:rowOff>0</xdr:rowOff>
    </xdr:from>
    <xdr:to>
      <xdr:col>4</xdr:col>
      <xdr:colOff>22860</xdr:colOff>
      <xdr:row>36</xdr:row>
      <xdr:rowOff>91440</xdr:rowOff>
    </xdr:to>
    <xdr:sp macro="" textlink="">
      <xdr:nvSpPr>
        <xdr:cNvPr id="7" name="Rectangle: Folded Corner 6">
          <a:extLst>
            <a:ext uri="{FF2B5EF4-FFF2-40B4-BE49-F238E27FC236}">
              <a16:creationId xmlns:a16="http://schemas.microsoft.com/office/drawing/2014/main" id="{BB0E6103-14D8-4DBD-9C1B-2A8F35421E2D}"/>
            </a:ext>
          </a:extLst>
        </xdr:cNvPr>
        <xdr:cNvSpPr/>
      </xdr:nvSpPr>
      <xdr:spPr>
        <a:xfrm>
          <a:off x="4579620" y="5791200"/>
          <a:ext cx="2674620" cy="1920240"/>
        </a:xfrm>
        <a:prstGeom prst="foldedCorne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200"/>
            <a:t>⚡ </a:t>
          </a:r>
          <a:r>
            <a:rPr lang="en-IN" sz="1200" b="1"/>
            <a:t>Pro Tip:</a:t>
          </a:r>
          <a:endParaRPr lang="en-IN" sz="1200"/>
        </a:p>
        <a:p>
          <a:r>
            <a:rPr lang="en-IN" sz="1200"/>
            <a:t>HLOOKUP = Horizontal Lookup (search in </a:t>
          </a:r>
          <a:r>
            <a:rPr lang="en-IN" sz="1200" b="1"/>
            <a:t>rows</a:t>
          </a:r>
          <a:r>
            <a:rPr lang="en-IN" sz="1200"/>
            <a:t>).</a:t>
          </a:r>
        </a:p>
        <a:p>
          <a:r>
            <a:rPr lang="en-IN" sz="1200"/>
            <a:t>VLOOKUP = Vertical Lookup (search in </a:t>
          </a:r>
          <a:r>
            <a:rPr lang="en-IN" sz="1200" b="1"/>
            <a:t>columns</a:t>
          </a:r>
          <a:r>
            <a:rPr lang="en-IN" sz="1200"/>
            <a:t>).</a:t>
          </a:r>
        </a:p>
        <a:p>
          <a:r>
            <a:rPr lang="en-IN" sz="1200"/>
            <a:t>Both have limitations (can’t look left/up). For flexibility → use </a:t>
          </a:r>
          <a:r>
            <a:rPr lang="en-IN" sz="1200" b="1"/>
            <a:t>INDEX + MATCH</a:t>
          </a:r>
          <a:r>
            <a:rPr lang="en-IN" sz="1200"/>
            <a:t> or </a:t>
          </a:r>
          <a:r>
            <a:rPr lang="en-IN" sz="1200" b="1"/>
            <a:t>XLOOKUP</a:t>
          </a:r>
          <a:r>
            <a:rPr lang="en-IN" sz="1200"/>
            <a:t>.</a:t>
          </a:r>
        </a:p>
      </xdr:txBody>
    </xdr:sp>
    <xdr:clientData/>
  </xdr:twoCellAnchor>
  <xdr:twoCellAnchor>
    <xdr:from>
      <xdr:col>0</xdr:col>
      <xdr:colOff>228600</xdr:colOff>
      <xdr:row>41</xdr:row>
      <xdr:rowOff>38100</xdr:rowOff>
    </xdr:from>
    <xdr:to>
      <xdr:col>2</xdr:col>
      <xdr:colOff>3032760</xdr:colOff>
      <xdr:row>55</xdr:row>
      <xdr:rowOff>22860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8E063010-67F2-4FD2-A68D-47805E75D902}"/>
            </a:ext>
          </a:extLst>
        </xdr:cNvPr>
        <xdr:cNvSpPr/>
      </xdr:nvSpPr>
      <xdr:spPr>
        <a:xfrm>
          <a:off x="228600" y="8656320"/>
          <a:ext cx="4114800" cy="254508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400" b="1"/>
            <a:t>🔹 INDEX Function</a:t>
          </a:r>
        </a:p>
        <a:p>
          <a:r>
            <a:rPr lang="en-IN" sz="1400"/>
            <a:t>Returns the value of a cell at a given row and column within a range.</a:t>
          </a:r>
        </a:p>
        <a:p>
          <a:r>
            <a:rPr lang="en-IN" sz="1400" b="1"/>
            <a:t>Syntax:</a:t>
          </a:r>
          <a:br>
            <a:rPr lang="en-IN" sz="1400"/>
          </a:br>
          <a:r>
            <a:rPr lang="en-IN" sz="1400"/>
            <a:t>=INDEX(array, row_num, [column_num])</a:t>
          </a:r>
        </a:p>
        <a:p>
          <a:r>
            <a:rPr lang="en-IN" sz="1400"/>
            <a:t>Example:</a:t>
          </a:r>
          <a:br>
            <a:rPr lang="en-IN" sz="1400"/>
          </a:br>
          <a:r>
            <a:rPr lang="en-IN" sz="1400"/>
            <a:t>=INDEX(B2:D6, 3, 2)</a:t>
          </a:r>
          <a:br>
            <a:rPr lang="en-IN" sz="1400"/>
          </a:br>
          <a:r>
            <a:rPr lang="en-IN" sz="1400"/>
            <a:t>→ Returns the value in the </a:t>
          </a:r>
          <a:r>
            <a:rPr lang="en-IN" sz="1400" b="1"/>
            <a:t>3rd row &amp; 2nd column</a:t>
          </a:r>
          <a:r>
            <a:rPr lang="en-IN" sz="1400"/>
            <a:t> of range B2:D6.</a:t>
          </a:r>
        </a:p>
      </xdr:txBody>
    </xdr:sp>
    <xdr:clientData/>
  </xdr:twoCellAnchor>
  <xdr:twoCellAnchor>
    <xdr:from>
      <xdr:col>2</xdr:col>
      <xdr:colOff>2849880</xdr:colOff>
      <xdr:row>40</xdr:row>
      <xdr:rowOff>137160</xdr:rowOff>
    </xdr:from>
    <xdr:to>
      <xdr:col>6</xdr:col>
      <xdr:colOff>480060</xdr:colOff>
      <xdr:row>56</xdr:row>
      <xdr:rowOff>53340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A5BDF947-08F6-4CCC-867A-BD94C8A85F45}"/>
            </a:ext>
          </a:extLst>
        </xdr:cNvPr>
        <xdr:cNvSpPr/>
      </xdr:nvSpPr>
      <xdr:spPr>
        <a:xfrm>
          <a:off x="4160520" y="8572500"/>
          <a:ext cx="4770120" cy="284226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400" b="1"/>
            <a:t>🔹 MATCH Function</a:t>
          </a:r>
        </a:p>
        <a:p>
          <a:r>
            <a:rPr lang="en-IN" sz="1400"/>
            <a:t>Returns the </a:t>
          </a:r>
          <a:r>
            <a:rPr lang="en-IN" sz="1400" b="1"/>
            <a:t>position</a:t>
          </a:r>
          <a:r>
            <a:rPr lang="en-IN" sz="1400"/>
            <a:t> of a lookup value within a row/column.</a:t>
          </a:r>
        </a:p>
        <a:p>
          <a:r>
            <a:rPr lang="en-IN" sz="1400" b="1"/>
            <a:t>Syntax:</a:t>
          </a:r>
          <a:br>
            <a:rPr lang="en-IN" sz="1400"/>
          </a:br>
          <a:r>
            <a:rPr lang="en-IN" sz="1400"/>
            <a:t>=MATCH(lookup_value, lookup_array, [match_type])</a:t>
          </a:r>
        </a:p>
        <a:p>
          <a:r>
            <a:rPr lang="en-IN" sz="1400"/>
            <a:t>match_type = 0 → Exact match</a:t>
          </a:r>
        </a:p>
        <a:p>
          <a:r>
            <a:rPr lang="en-IN" sz="1400"/>
            <a:t>match_type = 1 → Less than / Approx match</a:t>
          </a:r>
        </a:p>
        <a:p>
          <a:r>
            <a:rPr lang="en-IN" sz="1400"/>
            <a:t>match_type = -1 → Greater than / Approx match</a:t>
          </a:r>
        </a:p>
        <a:p>
          <a:r>
            <a:rPr lang="en-IN" sz="1400"/>
            <a:t>Example:</a:t>
          </a:r>
          <a:br>
            <a:rPr lang="en-IN" sz="1400"/>
          </a:br>
          <a:r>
            <a:rPr lang="en-IN" sz="1400"/>
            <a:t>=MATCH("Apple", A2:A10, 0)</a:t>
          </a:r>
          <a:br>
            <a:rPr lang="en-IN" sz="1400"/>
          </a:br>
          <a:r>
            <a:rPr lang="en-IN" sz="1400"/>
            <a:t>→ Returns the position where “Apple” is found in the list.</a:t>
          </a:r>
        </a:p>
      </xdr:txBody>
    </xdr:sp>
    <xdr:clientData/>
  </xdr:twoCellAnchor>
  <xdr:twoCellAnchor>
    <xdr:from>
      <xdr:col>6</xdr:col>
      <xdr:colOff>182880</xdr:colOff>
      <xdr:row>41</xdr:row>
      <xdr:rowOff>38100</xdr:rowOff>
    </xdr:from>
    <xdr:to>
      <xdr:col>14</xdr:col>
      <xdr:colOff>76200</xdr:colOff>
      <xdr:row>55</xdr:row>
      <xdr:rowOff>68580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3663347C-1A02-4A04-BF29-D1C5114CFE97}"/>
            </a:ext>
          </a:extLst>
        </xdr:cNvPr>
        <xdr:cNvSpPr/>
      </xdr:nvSpPr>
      <xdr:spPr>
        <a:xfrm>
          <a:off x="8633460" y="8656320"/>
          <a:ext cx="4770120" cy="25908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400" b="1"/>
            <a:t>🔹 INDEX + MATCH Combo</a:t>
          </a:r>
        </a:p>
        <a:p>
          <a:r>
            <a:rPr lang="en-IN" sz="1400"/>
            <a:t>We use MATCH to find the </a:t>
          </a:r>
          <a:r>
            <a:rPr lang="en-IN" sz="1400" b="1"/>
            <a:t>row or column position</a:t>
          </a:r>
          <a:r>
            <a:rPr lang="en-IN" sz="1400"/>
            <a:t>, and then INDEX to fetch the actual value.</a:t>
          </a:r>
        </a:p>
        <a:p>
          <a:r>
            <a:rPr lang="en-IN" sz="1400" b="1"/>
            <a:t>Syntax:</a:t>
          </a:r>
          <a:br>
            <a:rPr lang="en-IN" sz="1400"/>
          </a:br>
          <a:r>
            <a:rPr lang="en-IN" sz="1400"/>
            <a:t>=INDEX(return_range, MATCH(lookup_value, lookup_range, 0))</a:t>
          </a:r>
        </a:p>
        <a:p>
          <a:r>
            <a:rPr lang="en-IN" sz="1400"/>
            <a:t>Example:</a:t>
          </a:r>
          <a:br>
            <a:rPr lang="en-IN" sz="1400"/>
          </a:br>
          <a:r>
            <a:rPr lang="en-IN" sz="1400"/>
            <a:t>=INDEX(C2:C10, MATCH("Banana", A2:A10, 0))</a:t>
          </a:r>
          <a:br>
            <a:rPr lang="en-IN" sz="1400"/>
          </a:br>
          <a:r>
            <a:rPr lang="en-IN" sz="1400"/>
            <a:t>→ Looks for "Banana" in A2:A10, finds its row, then returns the corresponding value from C2:C10.</a:t>
          </a:r>
        </a:p>
      </xdr:txBody>
    </xdr:sp>
    <xdr:clientData/>
  </xdr:twoCellAnchor>
  <xdr:twoCellAnchor>
    <xdr:from>
      <xdr:col>1</xdr:col>
      <xdr:colOff>396240</xdr:colOff>
      <xdr:row>57</xdr:row>
      <xdr:rowOff>129540</xdr:rowOff>
    </xdr:from>
    <xdr:to>
      <xdr:col>2</xdr:col>
      <xdr:colOff>3154680</xdr:colOff>
      <xdr:row>66</xdr:row>
      <xdr:rowOff>83820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72302F42-2FB9-42D5-9338-B84811CDB258}"/>
            </a:ext>
          </a:extLst>
        </xdr:cNvPr>
        <xdr:cNvSpPr/>
      </xdr:nvSpPr>
      <xdr:spPr>
        <a:xfrm>
          <a:off x="1005840" y="11673840"/>
          <a:ext cx="3459480" cy="160020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/>
            <a:t>⚡ </a:t>
          </a:r>
          <a:r>
            <a:rPr lang="en-IN" sz="1200" b="1"/>
            <a:t>Pro Tip:</a:t>
          </a:r>
          <a:endParaRPr lang="en-IN" sz="1200"/>
        </a:p>
        <a:p>
          <a:r>
            <a:rPr lang="en-IN" sz="1200"/>
            <a:t>For 2D lookup:</a:t>
          </a:r>
          <a:br>
            <a:rPr lang="en-IN" sz="1200"/>
          </a:br>
          <a:r>
            <a:rPr lang="en-IN" sz="1200"/>
            <a:t>=INDEX(B2:E10, MATCH("Banana", A2:A10, 0), MATCH("Price", B1:E1, 0))</a:t>
          </a:r>
        </a:p>
        <a:p>
          <a:br>
            <a:rPr lang="en-IN" sz="1200"/>
          </a:br>
          <a:r>
            <a:rPr lang="en-IN" sz="1200"/>
            <a:t>→ Finds “Banana” row &amp; “Price” column → returns exact intersection value.</a:t>
          </a:r>
        </a:p>
      </xdr:txBody>
    </xdr:sp>
    <xdr:clientData/>
  </xdr:twoCellAnchor>
  <xdr:twoCellAnchor>
    <xdr:from>
      <xdr:col>3</xdr:col>
      <xdr:colOff>457200</xdr:colOff>
      <xdr:row>57</xdr:row>
      <xdr:rowOff>152400</xdr:rowOff>
    </xdr:from>
    <xdr:to>
      <xdr:col>7</xdr:col>
      <xdr:colOff>121920</xdr:colOff>
      <xdr:row>68</xdr:row>
      <xdr:rowOff>160020</xdr:rowOff>
    </xdr:to>
    <xdr:sp macro="" textlink="">
      <xdr:nvSpPr>
        <xdr:cNvPr id="14" name="Rectangle: Folded Corner 13">
          <a:extLst>
            <a:ext uri="{FF2B5EF4-FFF2-40B4-BE49-F238E27FC236}">
              <a16:creationId xmlns:a16="http://schemas.microsoft.com/office/drawing/2014/main" id="{C8C95167-034F-E45A-917E-B8C7F96F7F07}"/>
            </a:ext>
          </a:extLst>
        </xdr:cNvPr>
        <xdr:cNvSpPr/>
      </xdr:nvSpPr>
      <xdr:spPr>
        <a:xfrm>
          <a:off x="5631180" y="11696700"/>
          <a:ext cx="3550920" cy="2019300"/>
        </a:xfrm>
        <a:prstGeom prst="foldedCorne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400" b="1"/>
            <a:t>🔥 Why INDEX + MATCH &gt; VLOOKUP / HLOOKUP?</a:t>
          </a:r>
        </a:p>
        <a:p>
          <a:r>
            <a:rPr lang="en-IN" sz="1400"/>
            <a:t>Can </a:t>
          </a:r>
          <a:r>
            <a:rPr lang="en-IN" sz="1400" b="1"/>
            <a:t>look left or above</a:t>
          </a:r>
          <a:r>
            <a:rPr lang="en-IN" sz="1400"/>
            <a:t> (VLOOKUP/HLOOKUP can’t).</a:t>
          </a:r>
        </a:p>
        <a:p>
          <a:r>
            <a:rPr lang="en-IN" sz="1400"/>
            <a:t>Faster with </a:t>
          </a:r>
          <a:r>
            <a:rPr lang="en-IN" sz="1400" b="1"/>
            <a:t>large datasets</a:t>
          </a:r>
          <a:r>
            <a:rPr lang="en-IN" sz="1400"/>
            <a:t>.</a:t>
          </a:r>
        </a:p>
        <a:p>
          <a:r>
            <a:rPr lang="en-IN" sz="1400"/>
            <a:t>Works even if columns/rows get rearranged.</a:t>
          </a:r>
        </a:p>
        <a:p>
          <a:r>
            <a:rPr lang="en-IN" sz="1400"/>
            <a:t>More flexible for </a:t>
          </a:r>
          <a:r>
            <a:rPr lang="en-IN" sz="1400" b="1"/>
            <a:t>2D lookups</a:t>
          </a:r>
          <a:r>
            <a:rPr lang="en-IN" sz="1400"/>
            <a:t> (row + column).</a:t>
          </a:r>
        </a:p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146050</xdr:colOff>
      <xdr:row>0</xdr:row>
      <xdr:rowOff>215900</xdr:rowOff>
    </xdr:from>
    <xdr:to>
      <xdr:col>10</xdr:col>
      <xdr:colOff>349250</xdr:colOff>
      <xdr:row>12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7AE72C-9E96-8ABD-74E9-555303770407}"/>
            </a:ext>
          </a:extLst>
        </xdr:cNvPr>
        <xdr:cNvSpPr txBox="1"/>
      </xdr:nvSpPr>
      <xdr:spPr>
        <a:xfrm>
          <a:off x="3803650" y="215900"/>
          <a:ext cx="2641600" cy="27749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font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IFERROR function</a:t>
          </a:r>
          <a:r>
            <a:rPr lang="en-IN"/>
            <a:t>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Purpose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To handle errors and return a custom value instead of the error.</a:t>
          </a:r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=IFERROR(value, value_if_error)</a:t>
          </a:r>
        </a:p>
        <a:p>
          <a:pPr rtl="0" fontAlgn="ctr"/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=IFERROR(A1/B1, "Error")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B1=0, normally Excel gives #DIV/0! error.</a:t>
          </a:r>
          <a:r>
            <a:rPr lang="en-IN"/>
            <a:t> </a:t>
          </a:r>
          <a:br>
            <a:rPr lang="en-IN"/>
          </a:br>
          <a:br>
            <a:rPr lang="en-IN"/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But IFERROR will return "Error" instead.</a:t>
          </a:r>
          <a:r>
            <a:rPr lang="en-IN"/>
            <a:t> </a:t>
          </a:r>
          <a:br>
            <a:rPr lang="en-IN"/>
          </a:br>
          <a:br>
            <a:rPr lang="en-IN"/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👉 Use IFERROR when you want to catch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any error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(like #N/A, #DIV/0!, #VALUE!, etc.) and replace it with something meaningful.</a:t>
          </a:r>
          <a:r>
            <a:rPr lang="en-IN"/>
            <a:t> </a:t>
          </a:r>
          <a:endParaRPr lang="en-IN" sz="1100"/>
        </a:p>
      </xdr:txBody>
    </xdr:sp>
    <xdr:clientData/>
  </xdr:twoCellAnchor>
  <xdr:twoCellAnchor>
    <xdr:from>
      <xdr:col>10</xdr:col>
      <xdr:colOff>482600</xdr:colOff>
      <xdr:row>1</xdr:row>
      <xdr:rowOff>12700</xdr:rowOff>
    </xdr:from>
    <xdr:to>
      <xdr:col>15</xdr:col>
      <xdr:colOff>393700</xdr:colOff>
      <xdr:row>12</xdr:row>
      <xdr:rowOff>107950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4E75084-2765-20FD-B348-4F1BCCD238CD}"/>
            </a:ext>
          </a:extLst>
        </xdr:cNvPr>
        <xdr:cNvSpPr txBox="1"/>
      </xdr:nvSpPr>
      <xdr:spPr>
        <a:xfrm>
          <a:off x="6578600" y="234950"/>
          <a:ext cx="2959100" cy="27495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font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ISERROR function</a:t>
          </a:r>
          <a:r>
            <a:rPr lang="en-IN"/>
            <a:t>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Purpose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To check whether a formula returns an error (TRUE/FALSE).</a:t>
          </a:r>
          <a:r>
            <a:rPr lang="en-IN"/>
            <a:t>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Syntax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TRUE</a:t>
          </a:r>
        </a:p>
        <a:p>
          <a:pPr rtl="0" font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TRUE</a:t>
          </a:r>
        </a:p>
        <a:p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B1=0, result = TRUE (because division gives an error).</a:t>
          </a:r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no error, result = FALSE.</a:t>
          </a:r>
          <a:r>
            <a:rPr lang="en-IN"/>
            <a:t> </a:t>
          </a:r>
          <a:br>
            <a:rPr lang="en-IN"/>
          </a:br>
          <a:br>
            <a:rPr lang="en-IN"/>
          </a:br>
          <a:br>
            <a:rPr lang="en-IN"/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👉 Use ISERROR when you only need a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check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(True/False) if the value is an error. Often combined with IF.</a:t>
          </a:r>
          <a:r>
            <a:rPr lang="en-IN"/>
            <a:t> </a:t>
          </a:r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6000AF-3E04-4883-ABA6-68449A3C6619}" name="Table2" displayName="Table2" ref="B4:D5" totalsRowShown="0" headerRowDxfId="13" dataDxfId="12">
  <autoFilter ref="B4:D5" xr:uid="{C16000AF-3E04-4883-ABA6-68449A3C6619}"/>
  <tableColumns count="3">
    <tableColumn id="1" xr3:uid="{85A5C2A3-5DB3-42F8-BF8D-3A1E447A9D8B}" name="Function" dataDxfId="11"/>
    <tableColumn id="2" xr3:uid="{F1FB9EC3-EA91-4182-9581-63B0C0258D94}" name="Explanation" dataDxfId="10"/>
    <tableColumn id="3" xr3:uid="{C0BCBC3A-0C6E-4E32-9999-1408F30B5C92}" name="Syntax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8630EC-04F7-4083-B244-2DB38DF25C05}" name="Table3" displayName="Table3" ref="B24:D25" totalsRowShown="0" headerRowDxfId="8">
  <autoFilter ref="B24:D25" xr:uid="{568630EC-04F7-4083-B244-2DB38DF25C05}"/>
  <tableColumns count="3">
    <tableColumn id="1" xr3:uid="{726C2C07-AF6C-4FC3-A301-C2E821CE5538}" name="Function" dataDxfId="7"/>
    <tableColumn id="2" xr3:uid="{AC6467C8-9FBE-4304-9ED8-29237A6425DC}" name="Explanation" dataDxfId="6"/>
    <tableColumn id="3" xr3:uid="{B90DB9A3-84DD-406D-851E-520207DFE740}" name="Syntax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AC84F1-9EC1-4AA5-8E0A-D21CC22CFA12}" name="Table4" displayName="Table4" ref="B75:D79" totalsRowShown="0" headerRowDxfId="4">
  <autoFilter ref="B75:D79" xr:uid="{2DAC84F1-9EC1-4AA5-8E0A-D21CC22CFA12}"/>
  <tableColumns count="3">
    <tableColumn id="1" xr3:uid="{7ECD8274-AFEA-4ABB-B19E-34CD4196A7F2}" name="Feature" dataDxfId="3"/>
    <tableColumn id="2" xr3:uid="{A551EDAA-7D08-4DDA-99EF-277F682BF727}" name="Explanation" dataDxfId="2"/>
    <tableColumn id="3" xr3:uid="{7FF15375-F619-48E9-B4C1-1643BB31584D}" name="Syntax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A7186F-771B-4FA9-B8D3-C420603692B9}" name="Tab_vlp" displayName="Tab_vlp" ref="A18:D26" totalsRowShown="0" headerRowDxfId="0">
  <autoFilter ref="A18:D26" xr:uid="{9FA7186F-771B-4FA9-B8D3-C420603692B9}"/>
  <tableColumns count="4">
    <tableColumn id="1" xr3:uid="{7C138FEB-9353-4989-8E7B-3F50E381160D}" name="Top Products"/>
    <tableColumn id="2" xr3:uid="{845B7A7B-5AF5-4734-9BF1-8E09F58F4B6B}" name="Product Code"/>
    <tableColumn id="3" xr3:uid="{09BB3288-2D2F-4536-B3DB-0A6D4EFEA1B8}" name="Quantity"/>
    <tableColumn id="4" xr3:uid="{EAE46145-37A8-480E-867B-685D74D707E3}" name="Price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31CD37B-4FBD-42B0-B976-45C211C2EFC7}" name="Table6" displayName="Table6" ref="F4:H11" totalsRowShown="0">
  <autoFilter ref="F4:H11" xr:uid="{231CD37B-4FBD-42B0-B976-45C211C2EFC7}"/>
  <tableColumns count="3">
    <tableColumn id="1" xr3:uid="{37EFF4FA-236E-42C0-A73E-CB56443953CD}" name="Product"/>
    <tableColumn id="2" xr3:uid="{819D4FC1-653F-43AC-9384-0DAD79AC71B4}" name="Quantity"/>
    <tableColumn id="3" xr3:uid="{AE0F02F3-733F-4CA8-93CB-3AF3FE940E0A}" name="Unit Pric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A7FAA-43A9-4273-91AE-82420C3FB101}">
  <dimension ref="A1:A4"/>
  <sheetViews>
    <sheetView zoomScale="160" zoomScaleNormal="160" workbookViewId="0">
      <selection activeCell="G16" sqref="G16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509B5-14A8-4120-8A8F-F77A15F8FEE1}">
  <dimension ref="B2:D79"/>
  <sheetViews>
    <sheetView workbookViewId="0">
      <selection activeCell="F77" sqref="F77"/>
    </sheetView>
  </sheetViews>
  <sheetFormatPr defaultRowHeight="15"/>
  <cols>
    <col min="2" max="2" width="10.28515625" customWidth="1"/>
    <col min="3" max="3" width="56.28515625" customWidth="1"/>
    <col min="4" max="4" width="30" customWidth="1"/>
  </cols>
  <sheetData>
    <row r="2" spans="2:4" ht="21">
      <c r="B2" s="24" t="s">
        <v>4</v>
      </c>
    </row>
    <row r="4" spans="2:4">
      <c r="B4" s="26" t="s">
        <v>5</v>
      </c>
      <c r="C4" s="26" t="s">
        <v>6</v>
      </c>
      <c r="D4" s="26" t="s">
        <v>7</v>
      </c>
    </row>
    <row r="5" spans="2:4" ht="45">
      <c r="B5" s="10" t="s">
        <v>8</v>
      </c>
      <c r="C5" s="10" t="s">
        <v>9</v>
      </c>
      <c r="D5" s="10" t="s">
        <v>10</v>
      </c>
    </row>
    <row r="22" spans="2:4" ht="21">
      <c r="B22" s="24" t="s">
        <v>11</v>
      </c>
    </row>
    <row r="24" spans="2:4">
      <c r="B24" s="9" t="s">
        <v>5</v>
      </c>
      <c r="C24" s="9" t="s">
        <v>6</v>
      </c>
      <c r="D24" s="9" t="s">
        <v>7</v>
      </c>
    </row>
    <row r="25" spans="2:4" ht="38.25">
      <c r="B25" s="10" t="s">
        <v>12</v>
      </c>
      <c r="C25" s="10" t="s">
        <v>13</v>
      </c>
      <c r="D25" s="25" t="s">
        <v>14</v>
      </c>
    </row>
    <row r="40" spans="2:2" ht="21">
      <c r="B40" s="24" t="s">
        <v>15</v>
      </c>
    </row>
    <row r="73" spans="2:4" ht="21">
      <c r="B73" s="24" t="s">
        <v>1</v>
      </c>
    </row>
    <row r="75" spans="2:4">
      <c r="B75" s="9" t="s">
        <v>16</v>
      </c>
      <c r="C75" s="9" t="s">
        <v>6</v>
      </c>
      <c r="D75" s="9" t="s">
        <v>7</v>
      </c>
    </row>
    <row r="76" spans="2:4" ht="60">
      <c r="B76" s="26" t="s">
        <v>17</v>
      </c>
      <c r="C76" s="10" t="s">
        <v>18</v>
      </c>
      <c r="D76" s="25" t="s">
        <v>19</v>
      </c>
    </row>
    <row r="77" spans="2:4" ht="45">
      <c r="B77" s="26" t="s">
        <v>20</v>
      </c>
      <c r="C77" s="10" t="s">
        <v>21</v>
      </c>
      <c r="D77" s="10" t="s">
        <v>22</v>
      </c>
    </row>
    <row r="78" spans="2:4" ht="45">
      <c r="B78" s="26" t="s">
        <v>23</v>
      </c>
      <c r="C78" s="10" t="s">
        <v>24</v>
      </c>
      <c r="D78" s="10" t="s">
        <v>25</v>
      </c>
    </row>
    <row r="79" spans="2:4" ht="45">
      <c r="B79" s="26" t="s">
        <v>26</v>
      </c>
      <c r="C79" s="10" t="s">
        <v>27</v>
      </c>
      <c r="D79" s="10" t="s">
        <v>22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opLeftCell="A16" zoomScale="145" zoomScaleNormal="145" workbookViewId="0">
      <selection activeCell="I29" sqref="I29"/>
    </sheetView>
  </sheetViews>
  <sheetFormatPr defaultRowHeight="15"/>
  <cols>
    <col min="1" max="1" width="14" customWidth="1"/>
    <col min="2" max="2" width="14.28515625" customWidth="1"/>
    <col min="3" max="3" width="10.28515625" bestFit="1" customWidth="1"/>
    <col min="6" max="6" width="15" bestFit="1" customWidth="1"/>
    <col min="7" max="7" width="9.7109375" bestFit="1" customWidth="1"/>
    <col min="8" max="8" width="10.28515625" bestFit="1" customWidth="1"/>
    <col min="9" max="9" width="13.42578125" bestFit="1" customWidth="1"/>
    <col min="11" max="11" width="10.28515625" bestFit="1" customWidth="1"/>
    <col min="12" max="12" width="13.42578125" bestFit="1" customWidth="1"/>
  </cols>
  <sheetData>
    <row r="1" spans="1:15" ht="18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/>
      <c r="H1" s="1"/>
      <c r="I1" s="1"/>
      <c r="O1" s="2" t="s">
        <v>34</v>
      </c>
    </row>
    <row r="2" spans="1:15">
      <c r="A2">
        <v>101</v>
      </c>
      <c r="B2" t="s">
        <v>35</v>
      </c>
      <c r="C2" t="s">
        <v>36</v>
      </c>
      <c r="D2">
        <v>55000</v>
      </c>
      <c r="E2">
        <v>10</v>
      </c>
      <c r="F2" t="str">
        <f>VLOOKUP(A1,Orders!A1:E11,2,1)</f>
        <v>Customer_Name</v>
      </c>
      <c r="O2" s="3" t="s">
        <v>37</v>
      </c>
    </row>
    <row r="3" spans="1:15">
      <c r="A3">
        <v>102</v>
      </c>
      <c r="B3" t="s">
        <v>38</v>
      </c>
      <c r="C3" t="s">
        <v>39</v>
      </c>
      <c r="D3">
        <v>800</v>
      </c>
      <c r="E3">
        <v>50</v>
      </c>
      <c r="O3" s="3" t="s">
        <v>40</v>
      </c>
    </row>
    <row r="4" spans="1:15">
      <c r="A4">
        <v>103</v>
      </c>
      <c r="B4" t="s">
        <v>41</v>
      </c>
      <c r="C4" t="s">
        <v>39</v>
      </c>
      <c r="D4">
        <v>1500</v>
      </c>
      <c r="E4">
        <v>40</v>
      </c>
      <c r="K4" s="1" t="s">
        <v>28</v>
      </c>
      <c r="L4" s="1" t="s">
        <v>30</v>
      </c>
      <c r="O4" s="3" t="s">
        <v>42</v>
      </c>
    </row>
    <row r="5" spans="1:15">
      <c r="A5">
        <v>104</v>
      </c>
      <c r="B5" t="s">
        <v>43</v>
      </c>
      <c r="C5" t="s">
        <v>36</v>
      </c>
      <c r="D5">
        <v>12000</v>
      </c>
      <c r="E5">
        <v>15</v>
      </c>
      <c r="K5">
        <v>103</v>
      </c>
      <c r="L5" t="str">
        <f>VLOOKUP(K5,A1:E11,3,0)</f>
        <v>Accessories</v>
      </c>
      <c r="O5" s="3" t="s">
        <v>44</v>
      </c>
    </row>
    <row r="6" spans="1:15">
      <c r="A6">
        <v>105</v>
      </c>
      <c r="B6" t="s">
        <v>45</v>
      </c>
      <c r="C6" t="s">
        <v>36</v>
      </c>
      <c r="D6">
        <v>7000</v>
      </c>
      <c r="E6">
        <v>8</v>
      </c>
      <c r="O6" s="3" t="s">
        <v>46</v>
      </c>
    </row>
    <row r="7" spans="1:15">
      <c r="A7">
        <v>106</v>
      </c>
      <c r="B7" t="s">
        <v>47</v>
      </c>
      <c r="C7" t="s">
        <v>36</v>
      </c>
      <c r="D7">
        <v>6000</v>
      </c>
      <c r="E7">
        <v>12</v>
      </c>
      <c r="O7" s="3" t="s">
        <v>48</v>
      </c>
    </row>
    <row r="8" spans="1:15">
      <c r="A8">
        <v>107</v>
      </c>
      <c r="B8" t="s">
        <v>49</v>
      </c>
      <c r="C8" t="s">
        <v>36</v>
      </c>
      <c r="D8">
        <v>25000</v>
      </c>
      <c r="E8">
        <v>20</v>
      </c>
      <c r="O8" s="3" t="s">
        <v>50</v>
      </c>
    </row>
    <row r="9" spans="1:15">
      <c r="A9">
        <v>108</v>
      </c>
      <c r="B9" t="s">
        <v>51</v>
      </c>
      <c r="C9" t="s">
        <v>39</v>
      </c>
      <c r="D9">
        <v>2000</v>
      </c>
      <c r="E9">
        <v>30</v>
      </c>
      <c r="O9" s="3" t="s">
        <v>52</v>
      </c>
    </row>
    <row r="10" spans="1:15">
      <c r="A10">
        <v>109</v>
      </c>
      <c r="B10" t="s">
        <v>53</v>
      </c>
      <c r="C10" t="s">
        <v>36</v>
      </c>
      <c r="D10">
        <v>15000</v>
      </c>
      <c r="E10">
        <v>18</v>
      </c>
      <c r="O10" s="3" t="s">
        <v>54</v>
      </c>
    </row>
    <row r="11" spans="1:15">
      <c r="A11">
        <v>110</v>
      </c>
      <c r="B11" t="s">
        <v>55</v>
      </c>
      <c r="C11" t="s">
        <v>39</v>
      </c>
      <c r="D11">
        <v>5000</v>
      </c>
      <c r="E11">
        <v>25</v>
      </c>
      <c r="O11" s="3" t="s">
        <v>56</v>
      </c>
    </row>
    <row r="14" spans="1:15">
      <c r="B14" s="1" t="s">
        <v>29</v>
      </c>
      <c r="C14" t="s">
        <v>35</v>
      </c>
      <c r="D14" t="s">
        <v>38</v>
      </c>
      <c r="E14" t="s">
        <v>41</v>
      </c>
      <c r="F14" t="s">
        <v>43</v>
      </c>
      <c r="G14" t="s">
        <v>45</v>
      </c>
      <c r="H14" t="s">
        <v>47</v>
      </c>
      <c r="I14" t="s">
        <v>49</v>
      </c>
      <c r="J14" t="s">
        <v>51</v>
      </c>
      <c r="K14" t="s">
        <v>53</v>
      </c>
      <c r="L14" t="s">
        <v>55</v>
      </c>
    </row>
    <row r="18" spans="1:10">
      <c r="A18" s="4" t="s">
        <v>57</v>
      </c>
      <c r="B18" s="4" t="s">
        <v>58</v>
      </c>
      <c r="C18" s="4" t="s">
        <v>59</v>
      </c>
      <c r="D18" s="4" t="s">
        <v>31</v>
      </c>
      <c r="G18" s="4" t="s">
        <v>60</v>
      </c>
    </row>
    <row r="19" spans="1:10">
      <c r="A19" t="s">
        <v>61</v>
      </c>
      <c r="B19" t="s">
        <v>62</v>
      </c>
      <c r="C19">
        <v>25</v>
      </c>
      <c r="D19">
        <v>26.95</v>
      </c>
      <c r="G19" s="20" t="s">
        <v>63</v>
      </c>
      <c r="H19" s="20" t="s">
        <v>31</v>
      </c>
      <c r="I19" s="20" t="s">
        <v>64</v>
      </c>
      <c r="J19" s="20" t="s">
        <v>65</v>
      </c>
    </row>
    <row r="20" spans="1:10">
      <c r="A20" t="s">
        <v>53</v>
      </c>
      <c r="B20" t="s">
        <v>66</v>
      </c>
      <c r="C20">
        <v>20</v>
      </c>
      <c r="D20">
        <v>28.95</v>
      </c>
    </row>
    <row r="21" spans="1:10">
      <c r="A21" t="s">
        <v>67</v>
      </c>
      <c r="B21" t="s">
        <v>68</v>
      </c>
      <c r="C21">
        <v>35</v>
      </c>
      <c r="D21">
        <v>31.95</v>
      </c>
    </row>
    <row r="22" spans="1:10">
      <c r="A22" t="s">
        <v>69</v>
      </c>
      <c r="B22" t="s">
        <v>70</v>
      </c>
      <c r="C22">
        <v>20</v>
      </c>
      <c r="D22">
        <v>35.950000000000003</v>
      </c>
      <c r="G22" s="4" t="s">
        <v>71</v>
      </c>
    </row>
    <row r="23" spans="1:10">
      <c r="A23" t="s">
        <v>72</v>
      </c>
      <c r="B23" t="s">
        <v>73</v>
      </c>
      <c r="C23">
        <v>30</v>
      </c>
      <c r="D23">
        <v>18.95</v>
      </c>
      <c r="G23" s="20" t="s">
        <v>63</v>
      </c>
      <c r="H23" s="20" t="s">
        <v>31</v>
      </c>
      <c r="I23" s="20" t="s">
        <v>64</v>
      </c>
      <c r="J23" s="20" t="s">
        <v>65</v>
      </c>
    </row>
    <row r="24" spans="1:10">
      <c r="A24" t="s">
        <v>35</v>
      </c>
      <c r="B24" t="s">
        <v>74</v>
      </c>
      <c r="C24">
        <v>40</v>
      </c>
      <c r="D24">
        <v>20.95</v>
      </c>
      <c r="G24" t="s">
        <v>61</v>
      </c>
      <c r="H24">
        <f>VLOOKUP(G24,Tab_vlp[],4,0)</f>
        <v>26.95</v>
      </c>
      <c r="I24">
        <f>VLOOKUP(G24,Tab_vlp[],3,0)</f>
        <v>25</v>
      </c>
      <c r="J24">
        <f>I24*H24</f>
        <v>673.75</v>
      </c>
    </row>
    <row r="25" spans="1:10">
      <c r="A25" t="s">
        <v>75</v>
      </c>
      <c r="B25" t="s">
        <v>76</v>
      </c>
      <c r="C25">
        <v>1</v>
      </c>
      <c r="D25">
        <v>4.95</v>
      </c>
      <c r="G25" t="s">
        <v>53</v>
      </c>
      <c r="H25">
        <f>VLOOKUP(G25,Tab_vlp[],4,0)</f>
        <v>28.95</v>
      </c>
      <c r="I25">
        <f>VLOOKUP(G25,Tab_vlp[],3,0)</f>
        <v>20</v>
      </c>
      <c r="J25">
        <f t="shared" ref="J25:J28" si="0">I25*H25</f>
        <v>579</v>
      </c>
    </row>
    <row r="26" spans="1:10">
      <c r="A26" t="s">
        <v>77</v>
      </c>
      <c r="B26" t="s">
        <v>78</v>
      </c>
      <c r="C26">
        <v>5</v>
      </c>
      <c r="D26">
        <v>5.95</v>
      </c>
      <c r="G26" t="s">
        <v>69</v>
      </c>
      <c r="H26">
        <f>VLOOKUP(G26,Tab_vlp[],4,0)</f>
        <v>35.950000000000003</v>
      </c>
      <c r="I26">
        <f>VLOOKUP(G26,Tab_vlp[],3,0)</f>
        <v>20</v>
      </c>
      <c r="J26">
        <f t="shared" si="0"/>
        <v>719</v>
      </c>
    </row>
    <row r="27" spans="1:10">
      <c r="G27" t="s">
        <v>72</v>
      </c>
      <c r="H27">
        <f>VLOOKUP(G27,Tab_vlp[],4,0)</f>
        <v>18.95</v>
      </c>
      <c r="I27">
        <f>VLOOKUP(G27,Tab_vlp[],3,0)</f>
        <v>30</v>
      </c>
      <c r="J27">
        <f t="shared" si="0"/>
        <v>568.5</v>
      </c>
    </row>
    <row r="28" spans="1:10">
      <c r="G28" t="s">
        <v>67</v>
      </c>
      <c r="H28">
        <f>VLOOKUP(G28,Tab_vlp[],4,0)</f>
        <v>31.95</v>
      </c>
      <c r="I28">
        <f>VLOOKUP(G28,Tab_vlp[],3,0)</f>
        <v>35</v>
      </c>
      <c r="J28">
        <f t="shared" si="0"/>
        <v>1118.25</v>
      </c>
    </row>
    <row r="29" spans="1:10">
      <c r="G29" s="21" t="s">
        <v>65</v>
      </c>
      <c r="H29" s="21"/>
      <c r="I29" s="21"/>
      <c r="J29" s="21"/>
    </row>
    <row r="30" spans="1:10">
      <c r="J30">
        <f>SUM(J24:J28)</f>
        <v>3658.5</v>
      </c>
    </row>
    <row r="31" spans="1:10">
      <c r="G31" s="4" t="s">
        <v>79</v>
      </c>
    </row>
    <row r="32" spans="1:10">
      <c r="G32" s="20" t="s">
        <v>63</v>
      </c>
      <c r="H32" s="20" t="s">
        <v>31</v>
      </c>
      <c r="I32" s="20" t="s">
        <v>64</v>
      </c>
      <c r="J32" s="20" t="s">
        <v>65</v>
      </c>
    </row>
    <row r="33" spans="8:8">
      <c r="H33">
        <f>VLOOKUP(G24,Tab_vlp[],4,TRUE)</f>
        <v>20.95</v>
      </c>
    </row>
  </sheetData>
  <dataValidations count="2">
    <dataValidation type="list" allowBlank="1" showInputMessage="1" showErrorMessage="1" sqref="K5" xr:uid="{6959F214-F48E-4342-A590-662082CD8BCE}">
      <formula1>$A$2:$A$11</formula1>
    </dataValidation>
    <dataValidation type="list" allowBlank="1" showInputMessage="1" showErrorMessage="1" sqref="G24:G28" xr:uid="{ADD277BC-1444-4798-B46A-E390A0756603}">
      <formula1>$A$19:$A$26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B2" sqref="B2"/>
    </sheetView>
  </sheetViews>
  <sheetFormatPr defaultRowHeight="15"/>
  <cols>
    <col min="1" max="1" width="8.5703125" bestFit="1" customWidth="1"/>
    <col min="2" max="2" width="15" bestFit="1" customWidth="1"/>
    <col min="3" max="3" width="10.28515625" bestFit="1" customWidth="1"/>
    <col min="4" max="4" width="8.28515625" bestFit="1" customWidth="1"/>
    <col min="5" max="5" width="15" bestFit="1" customWidth="1"/>
  </cols>
  <sheetData>
    <row r="1" spans="1:5">
      <c r="A1" s="1" t="s">
        <v>80</v>
      </c>
      <c r="B1" s="1" t="s">
        <v>33</v>
      </c>
      <c r="C1" s="1" t="s">
        <v>28</v>
      </c>
      <c r="D1" s="1" t="s">
        <v>59</v>
      </c>
      <c r="E1" s="1" t="s">
        <v>33</v>
      </c>
    </row>
    <row r="2" spans="1:5">
      <c r="A2">
        <v>1</v>
      </c>
      <c r="C2">
        <v>101</v>
      </c>
      <c r="D2">
        <v>1</v>
      </c>
    </row>
    <row r="3" spans="1:5">
      <c r="A3">
        <v>2</v>
      </c>
      <c r="C3">
        <v>105</v>
      </c>
      <c r="D3">
        <v>2</v>
      </c>
    </row>
    <row r="4" spans="1:5">
      <c r="A4">
        <v>3</v>
      </c>
      <c r="C4">
        <v>103</v>
      </c>
      <c r="D4">
        <v>1</v>
      </c>
    </row>
    <row r="5" spans="1:5">
      <c r="A5">
        <v>4</v>
      </c>
      <c r="C5">
        <v>101</v>
      </c>
      <c r="D5">
        <v>3</v>
      </c>
    </row>
    <row r="6" spans="1:5">
      <c r="A6">
        <v>5</v>
      </c>
      <c r="C6">
        <v>108</v>
      </c>
      <c r="D6">
        <v>2</v>
      </c>
    </row>
    <row r="7" spans="1:5">
      <c r="A7">
        <v>6</v>
      </c>
      <c r="C7">
        <v>102</v>
      </c>
      <c r="D7">
        <v>5</v>
      </c>
    </row>
    <row r="8" spans="1:5">
      <c r="A8">
        <v>7</v>
      </c>
      <c r="C8">
        <v>106</v>
      </c>
      <c r="D8">
        <v>1</v>
      </c>
    </row>
    <row r="9" spans="1:5">
      <c r="A9">
        <v>8</v>
      </c>
      <c r="C9">
        <v>109</v>
      </c>
      <c r="D9">
        <v>2</v>
      </c>
    </row>
    <row r="10" spans="1:5">
      <c r="A10">
        <v>9</v>
      </c>
      <c r="C10">
        <v>107</v>
      </c>
      <c r="D10">
        <v>1</v>
      </c>
    </row>
    <row r="11" spans="1:5">
      <c r="A11">
        <v>10</v>
      </c>
      <c r="C11">
        <v>104</v>
      </c>
      <c r="D1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B9A8-6CF5-473C-8B37-279AF242094D}">
  <dimension ref="A1:O15"/>
  <sheetViews>
    <sheetView workbookViewId="0">
      <selection activeCell="D18" sqref="D18"/>
    </sheetView>
  </sheetViews>
  <sheetFormatPr defaultRowHeight="15"/>
  <cols>
    <col min="1" max="1" width="15" bestFit="1" customWidth="1"/>
    <col min="2" max="2" width="9.7109375" bestFit="1" customWidth="1"/>
    <col min="3" max="4" width="10.28515625" bestFit="1" customWidth="1"/>
    <col min="5" max="8" width="9.7109375" bestFit="1" customWidth="1"/>
    <col min="9" max="9" width="10.28515625" bestFit="1" customWidth="1"/>
    <col min="10" max="10" width="9.7109375" bestFit="1" customWidth="1"/>
    <col min="11" max="11" width="10.28515625" bestFit="1" customWidth="1"/>
  </cols>
  <sheetData>
    <row r="1" spans="1:15" ht="18">
      <c r="A1" s="23" t="s">
        <v>28</v>
      </c>
      <c r="B1" s="22">
        <v>101</v>
      </c>
      <c r="C1" s="22">
        <v>102</v>
      </c>
      <c r="D1" s="22">
        <v>103</v>
      </c>
      <c r="E1" s="22">
        <v>104</v>
      </c>
      <c r="F1" s="22">
        <v>105</v>
      </c>
      <c r="G1" s="22">
        <v>106</v>
      </c>
      <c r="H1" s="22">
        <v>107</v>
      </c>
      <c r="I1" s="22">
        <v>108</v>
      </c>
      <c r="J1" s="22">
        <v>109</v>
      </c>
      <c r="K1" s="22">
        <v>110</v>
      </c>
      <c r="O1" s="2" t="s">
        <v>34</v>
      </c>
    </row>
    <row r="2" spans="1:15">
      <c r="A2" s="23" t="s">
        <v>29</v>
      </c>
      <c r="B2" s="22" t="s">
        <v>35</v>
      </c>
      <c r="C2" s="22" t="s">
        <v>38</v>
      </c>
      <c r="D2" s="22" t="s">
        <v>41</v>
      </c>
      <c r="E2" s="22" t="s">
        <v>43</v>
      </c>
      <c r="F2" s="22" t="s">
        <v>45</v>
      </c>
      <c r="G2" s="22" t="s">
        <v>47</v>
      </c>
      <c r="H2" s="22" t="s">
        <v>49</v>
      </c>
      <c r="I2" s="22" t="s">
        <v>51</v>
      </c>
      <c r="J2" s="22" t="s">
        <v>53</v>
      </c>
      <c r="K2" s="22" t="s">
        <v>55</v>
      </c>
      <c r="O2" s="3" t="s">
        <v>81</v>
      </c>
    </row>
    <row r="3" spans="1:15">
      <c r="A3" s="23" t="s">
        <v>30</v>
      </c>
      <c r="B3" s="22" t="s">
        <v>36</v>
      </c>
      <c r="C3" s="22" t="s">
        <v>39</v>
      </c>
      <c r="D3" s="22" t="s">
        <v>39</v>
      </c>
      <c r="E3" s="22" t="s">
        <v>36</v>
      </c>
      <c r="F3" s="22" t="s">
        <v>36</v>
      </c>
      <c r="G3" s="22" t="s">
        <v>36</v>
      </c>
      <c r="H3" s="22" t="s">
        <v>36</v>
      </c>
      <c r="I3" s="22" t="s">
        <v>39</v>
      </c>
      <c r="J3" s="22" t="s">
        <v>36</v>
      </c>
      <c r="K3" s="22" t="s">
        <v>39</v>
      </c>
      <c r="O3" s="3" t="s">
        <v>82</v>
      </c>
    </row>
    <row r="4" spans="1:15">
      <c r="A4" s="23" t="s">
        <v>31</v>
      </c>
      <c r="B4" s="22">
        <v>55000</v>
      </c>
      <c r="C4" s="22">
        <v>800</v>
      </c>
      <c r="D4" s="22">
        <v>1500</v>
      </c>
      <c r="E4" s="22">
        <v>12000</v>
      </c>
      <c r="F4" s="22">
        <v>7000</v>
      </c>
      <c r="G4" s="22">
        <v>6000</v>
      </c>
      <c r="H4" s="22">
        <v>25000</v>
      </c>
      <c r="I4" s="22">
        <v>2000</v>
      </c>
      <c r="J4" s="22">
        <v>15000</v>
      </c>
      <c r="K4" s="22">
        <v>5000</v>
      </c>
      <c r="O4" s="3" t="s">
        <v>83</v>
      </c>
    </row>
    <row r="5" spans="1:15">
      <c r="A5" s="23" t="s">
        <v>32</v>
      </c>
      <c r="B5" s="22">
        <v>10</v>
      </c>
      <c r="C5" s="22">
        <v>50</v>
      </c>
      <c r="D5" s="22">
        <v>40</v>
      </c>
      <c r="E5" s="22">
        <v>15</v>
      </c>
      <c r="F5" s="22">
        <v>8</v>
      </c>
      <c r="G5" s="22">
        <v>12</v>
      </c>
      <c r="H5" s="22">
        <v>20</v>
      </c>
      <c r="I5" s="22">
        <v>30</v>
      </c>
      <c r="J5" s="22">
        <v>18</v>
      </c>
      <c r="K5" s="22">
        <v>25</v>
      </c>
      <c r="O5" s="3" t="s">
        <v>84</v>
      </c>
    </row>
    <row r="6" spans="1:15">
      <c r="A6" s="23" t="s">
        <v>33</v>
      </c>
      <c r="B6" s="22" t="s">
        <v>85</v>
      </c>
      <c r="C6" s="22" t="s">
        <v>86</v>
      </c>
      <c r="D6" s="22" t="s">
        <v>87</v>
      </c>
      <c r="E6" s="22" t="s">
        <v>88</v>
      </c>
      <c r="F6" s="22" t="s">
        <v>89</v>
      </c>
      <c r="G6" s="22" t="s">
        <v>90</v>
      </c>
      <c r="H6" s="22" t="s">
        <v>91</v>
      </c>
      <c r="I6" s="22" t="s">
        <v>92</v>
      </c>
      <c r="J6" s="22" t="s">
        <v>93</v>
      </c>
      <c r="K6" s="22" t="s">
        <v>94</v>
      </c>
      <c r="O6" s="3" t="s">
        <v>95</v>
      </c>
    </row>
    <row r="7" spans="1:15">
      <c r="O7" s="3" t="s">
        <v>96</v>
      </c>
    </row>
    <row r="8" spans="1:15">
      <c r="O8" s="3" t="s">
        <v>97</v>
      </c>
    </row>
    <row r="9" spans="1:15">
      <c r="O9" s="3" t="s">
        <v>98</v>
      </c>
    </row>
    <row r="10" spans="1:15">
      <c r="O10" s="3" t="s">
        <v>99</v>
      </c>
    </row>
    <row r="11" spans="1:15">
      <c r="O11" s="3" t="s">
        <v>56</v>
      </c>
    </row>
    <row r="14" spans="1:15">
      <c r="A14" s="1" t="s">
        <v>28</v>
      </c>
      <c r="B14" s="22">
        <v>110</v>
      </c>
    </row>
    <row r="15" spans="1:15">
      <c r="A15" s="1" t="s">
        <v>33</v>
      </c>
      <c r="B15" t="str">
        <f>HLOOKUP(B14,B1:K6,6,0)</f>
        <v>Raj</v>
      </c>
    </row>
  </sheetData>
  <dataValidations count="1">
    <dataValidation type="list" allowBlank="1" showInputMessage="1" showErrorMessage="1" sqref="B14" xr:uid="{84650EFA-B1A7-4E2B-B7B5-4D4093E8865A}">
      <formula1>$B$1:$K$1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2FD42-3177-4B1D-8321-5A902A5F61A9}">
  <dimension ref="A1:H11"/>
  <sheetViews>
    <sheetView workbookViewId="0">
      <selection activeCell="I18" sqref="I18"/>
    </sheetView>
  </sheetViews>
  <sheetFormatPr defaultRowHeight="15"/>
  <cols>
    <col min="6" max="6" width="9.28515625" customWidth="1"/>
    <col min="7" max="7" width="9.85546875" customWidth="1"/>
    <col min="8" max="8" width="10.7109375" customWidth="1"/>
  </cols>
  <sheetData>
    <row r="1" spans="1:8">
      <c r="A1" t="s">
        <v>100</v>
      </c>
    </row>
    <row r="2" spans="1:8">
      <c r="A2" t="s">
        <v>101</v>
      </c>
    </row>
    <row r="4" spans="1:8">
      <c r="F4" t="s">
        <v>63</v>
      </c>
      <c r="G4" t="s">
        <v>59</v>
      </c>
      <c r="H4" t="s">
        <v>102</v>
      </c>
    </row>
    <row r="5" spans="1:8">
      <c r="F5" t="s">
        <v>103</v>
      </c>
      <c r="G5">
        <v>10</v>
      </c>
      <c r="H5">
        <v>5</v>
      </c>
    </row>
    <row r="6" spans="1:8">
      <c r="F6" t="s">
        <v>104</v>
      </c>
      <c r="G6">
        <v>15</v>
      </c>
      <c r="H6">
        <v>3</v>
      </c>
    </row>
    <row r="7" spans="1:8">
      <c r="F7" t="s">
        <v>105</v>
      </c>
      <c r="G7">
        <v>8</v>
      </c>
      <c r="H7">
        <v>20</v>
      </c>
    </row>
    <row r="8" spans="1:8">
      <c r="F8" t="s">
        <v>106</v>
      </c>
      <c r="G8">
        <v>25</v>
      </c>
      <c r="H8">
        <v>2</v>
      </c>
    </row>
    <row r="9" spans="1:8">
      <c r="F9" t="s">
        <v>107</v>
      </c>
      <c r="G9">
        <v>12</v>
      </c>
      <c r="H9">
        <v>15</v>
      </c>
    </row>
    <row r="10" spans="1:8">
      <c r="F10" t="s">
        <v>108</v>
      </c>
      <c r="G10">
        <v>18</v>
      </c>
      <c r="H10">
        <v>7</v>
      </c>
    </row>
    <row r="11" spans="1:8">
      <c r="F11" t="s">
        <v>109</v>
      </c>
      <c r="G11">
        <v>10</v>
      </c>
      <c r="H11">
        <v>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3D8A-4B91-4A69-AEBB-135A1EA88FB4}">
  <dimension ref="N1:S49"/>
  <sheetViews>
    <sheetView workbookViewId="0">
      <selection activeCell="G18" sqref="G18"/>
    </sheetView>
  </sheetViews>
  <sheetFormatPr defaultRowHeight="15"/>
  <cols>
    <col min="18" max="18" width="19.42578125" customWidth="1"/>
    <col min="19" max="19" width="17.7109375" customWidth="1"/>
  </cols>
  <sheetData>
    <row r="1" spans="14:19" ht="18">
      <c r="N1" s="2"/>
    </row>
    <row r="2" spans="14:19" ht="18">
      <c r="N2" s="5"/>
      <c r="Q2" s="13" t="s">
        <v>110</v>
      </c>
      <c r="R2" s="14"/>
      <c r="S2" s="14"/>
    </row>
    <row r="3" spans="14:19">
      <c r="N3" s="11"/>
      <c r="Q3" s="15" t="s">
        <v>5</v>
      </c>
      <c r="R3" s="15" t="s">
        <v>111</v>
      </c>
      <c r="S3" s="15" t="s">
        <v>23</v>
      </c>
    </row>
    <row r="4" spans="14:19" ht="45">
      <c r="N4" s="11"/>
      <c r="Q4" s="16" t="s">
        <v>112</v>
      </c>
      <c r="R4" s="17" t="s">
        <v>113</v>
      </c>
      <c r="S4" s="17" t="s">
        <v>114</v>
      </c>
    </row>
    <row r="5" spans="14:19" ht="45">
      <c r="N5" s="8"/>
      <c r="Q5" s="16" t="s">
        <v>115</v>
      </c>
      <c r="R5" s="17" t="s">
        <v>116</v>
      </c>
      <c r="S5" s="17" t="s">
        <v>117</v>
      </c>
    </row>
    <row r="6" spans="14:19">
      <c r="N6" s="8"/>
    </row>
    <row r="7" spans="14:19">
      <c r="Q7" t="s">
        <v>118</v>
      </c>
    </row>
    <row r="8" spans="14:19" ht="18">
      <c r="N8" s="2"/>
      <c r="Q8" t="s">
        <v>119</v>
      </c>
    </row>
    <row r="9" spans="14:19">
      <c r="N9" s="5"/>
    </row>
    <row r="10" spans="14:19">
      <c r="N10" s="5"/>
    </row>
    <row r="11" spans="14:19">
      <c r="N11" s="7"/>
    </row>
    <row r="12" spans="14:19">
      <c r="N12" s="5"/>
    </row>
    <row r="13" spans="14:19">
      <c r="N13" s="7"/>
    </row>
    <row r="14" spans="14:19">
      <c r="N14" s="8"/>
    </row>
    <row r="15" spans="14:19">
      <c r="N15" s="8"/>
    </row>
    <row r="16" spans="14:19">
      <c r="N16" s="12"/>
    </row>
    <row r="22" spans="14:14">
      <c r="N22" s="7"/>
    </row>
    <row r="47" spans="15:16">
      <c r="O47" s="9" t="s">
        <v>111</v>
      </c>
      <c r="P47" s="9" t="s">
        <v>23</v>
      </c>
    </row>
    <row r="48" spans="15:16" ht="90">
      <c r="O48" s="10" t="s">
        <v>113</v>
      </c>
      <c r="P48" s="10" t="s">
        <v>114</v>
      </c>
    </row>
    <row r="49" spans="15:16" ht="75">
      <c r="O49" s="10" t="s">
        <v>116</v>
      </c>
      <c r="P49" s="10" t="s">
        <v>117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1CDA5-45D3-430D-BF5E-7F0B9EE65D7C}">
  <dimension ref="A1:O20"/>
  <sheetViews>
    <sheetView workbookViewId="0">
      <selection activeCell="L18" sqref="L18:O20"/>
    </sheetView>
  </sheetViews>
  <sheetFormatPr defaultRowHeight="15"/>
  <cols>
    <col min="6" max="6" width="9.42578125" customWidth="1"/>
    <col min="8" max="8" width="14.42578125" customWidth="1"/>
    <col min="13" max="13" width="36.5703125" bestFit="1" customWidth="1"/>
  </cols>
  <sheetData>
    <row r="1" spans="1:15" ht="23.25">
      <c r="A1" s="19" t="s">
        <v>120</v>
      </c>
      <c r="B1" s="19" t="s">
        <v>31</v>
      </c>
      <c r="F1" s="18" t="s">
        <v>121</v>
      </c>
    </row>
    <row r="2" spans="1:15">
      <c r="A2" t="s">
        <v>122</v>
      </c>
      <c r="B2">
        <v>50</v>
      </c>
      <c r="C2">
        <f>INDEX(B2:B6,3)</f>
        <v>60</v>
      </c>
      <c r="D2" t="e">
        <f>MATCH(A2,A1:B6,0)</f>
        <v>#N/A</v>
      </c>
    </row>
    <row r="3" spans="1:15">
      <c r="A3" t="s">
        <v>123</v>
      </c>
      <c r="B3">
        <v>20</v>
      </c>
      <c r="D3" t="e">
        <f t="shared" ref="D3:D6" si="0">MATCH(A3,A2:B7,0)</f>
        <v>#N/A</v>
      </c>
      <c r="F3" s="4" t="s">
        <v>124</v>
      </c>
    </row>
    <row r="4" spans="1:15">
      <c r="A4" t="s">
        <v>125</v>
      </c>
      <c r="B4">
        <v>60</v>
      </c>
      <c r="D4" t="e">
        <f t="shared" si="0"/>
        <v>#N/A</v>
      </c>
      <c r="F4" t="s">
        <v>126</v>
      </c>
    </row>
    <row r="5" spans="1:15">
      <c r="A5" t="s">
        <v>127</v>
      </c>
      <c r="B5">
        <v>40</v>
      </c>
      <c r="D5" t="e">
        <f t="shared" si="0"/>
        <v>#N/A</v>
      </c>
    </row>
    <row r="6" spans="1:15" ht="23.25">
      <c r="A6" t="s">
        <v>128</v>
      </c>
      <c r="B6">
        <v>30</v>
      </c>
      <c r="D6" t="e">
        <f t="shared" si="0"/>
        <v>#N/A</v>
      </c>
      <c r="F6" s="18" t="s">
        <v>129</v>
      </c>
    </row>
    <row r="8" spans="1:15">
      <c r="F8" s="4" t="s">
        <v>130</v>
      </c>
    </row>
    <row r="9" spans="1:15">
      <c r="F9" t="s">
        <v>131</v>
      </c>
    </row>
    <row r="12" spans="1:15" ht="30">
      <c r="F12" t="s">
        <v>132</v>
      </c>
      <c r="G12" t="s">
        <v>133</v>
      </c>
      <c r="H12" t="s">
        <v>134</v>
      </c>
      <c r="I12" t="s">
        <v>135</v>
      </c>
      <c r="L12" t="s">
        <v>132</v>
      </c>
      <c r="M12" s="27" t="s">
        <v>133</v>
      </c>
      <c r="N12" s="27" t="s">
        <v>134</v>
      </c>
      <c r="O12" s="28" t="s">
        <v>135</v>
      </c>
    </row>
    <row r="13" spans="1:15">
      <c r="F13">
        <v>101</v>
      </c>
      <c r="G13" t="s">
        <v>136</v>
      </c>
      <c r="H13" t="s">
        <v>137</v>
      </c>
      <c r="I13">
        <v>45000</v>
      </c>
      <c r="L13">
        <v>101</v>
      </c>
      <c r="M13" s="29" t="str">
        <f>INDEX(G$13:G$17,MATCH($L13,$F$13:$F$17,0))</f>
        <v>Rahul</v>
      </c>
      <c r="N13" s="29" t="str">
        <f t="shared" ref="N13:O13" si="1">INDEX(H$13:H$17,MATCH($L13,$F$13:$F$17,0))</f>
        <v>HR</v>
      </c>
      <c r="O13" s="29">
        <f t="shared" si="1"/>
        <v>45000</v>
      </c>
    </row>
    <row r="14" spans="1:15">
      <c r="F14">
        <v>102</v>
      </c>
      <c r="G14" t="s">
        <v>89</v>
      </c>
      <c r="H14" t="s">
        <v>138</v>
      </c>
      <c r="I14">
        <v>55000</v>
      </c>
      <c r="K14" s="4"/>
      <c r="L14">
        <v>102</v>
      </c>
      <c r="M14" s="29" t="str">
        <f t="shared" ref="M14:M20" si="2">INDEX(G$13:G$17,MATCH($L14,$F$13:$F$17,0))</f>
        <v>Priya</v>
      </c>
      <c r="N14" s="29" t="str">
        <f t="shared" ref="N14:N20" si="3">INDEX(H$13:H$17,MATCH($L14,$F$13:$F$17,0))</f>
        <v>Finance</v>
      </c>
      <c r="O14" s="29">
        <f t="shared" ref="O14:O20" si="4">INDEX(I$13:I$17,MATCH($L14,$F$13:$F$17,0))</f>
        <v>55000</v>
      </c>
    </row>
    <row r="15" spans="1:15">
      <c r="F15">
        <v>103</v>
      </c>
      <c r="G15" t="s">
        <v>139</v>
      </c>
      <c r="H15" t="s">
        <v>140</v>
      </c>
      <c r="I15">
        <v>60000</v>
      </c>
      <c r="K15" s="4"/>
      <c r="L15">
        <v>103</v>
      </c>
      <c r="M15" s="29" t="str">
        <f t="shared" si="2"/>
        <v>Amit</v>
      </c>
      <c r="N15" s="29" t="str">
        <f t="shared" si="3"/>
        <v>IT</v>
      </c>
      <c r="O15" s="29">
        <f t="shared" si="4"/>
        <v>60000</v>
      </c>
    </row>
    <row r="16" spans="1:15">
      <c r="F16">
        <v>104</v>
      </c>
      <c r="G16" t="s">
        <v>141</v>
      </c>
      <c r="H16" t="s">
        <v>142</v>
      </c>
      <c r="I16">
        <v>50000</v>
      </c>
      <c r="L16">
        <v>104</v>
      </c>
      <c r="M16" s="29" t="str">
        <f t="shared" si="2"/>
        <v>Sneha</v>
      </c>
      <c r="N16" s="29" t="str">
        <f t="shared" si="3"/>
        <v>Marketing</v>
      </c>
      <c r="O16" s="29">
        <f t="shared" si="4"/>
        <v>50000</v>
      </c>
    </row>
    <row r="17" spans="6:15">
      <c r="F17">
        <v>105</v>
      </c>
      <c r="G17" t="s">
        <v>143</v>
      </c>
      <c r="H17" t="s">
        <v>140</v>
      </c>
      <c r="I17">
        <v>65000</v>
      </c>
      <c r="L17">
        <v>105</v>
      </c>
      <c r="M17" s="29" t="str">
        <f t="shared" si="2"/>
        <v>Karan</v>
      </c>
      <c r="N17" s="29" t="str">
        <f t="shared" si="3"/>
        <v>IT</v>
      </c>
      <c r="O17" s="29">
        <f t="shared" si="4"/>
        <v>65000</v>
      </c>
    </row>
    <row r="18" spans="6:15">
      <c r="F18">
        <v>106</v>
      </c>
      <c r="G18" t="s">
        <v>89</v>
      </c>
      <c r="H18" t="s">
        <v>138</v>
      </c>
      <c r="I18">
        <v>55000</v>
      </c>
      <c r="M18" s="29"/>
      <c r="N18" s="29"/>
      <c r="O18" s="29"/>
    </row>
    <row r="19" spans="6:15">
      <c r="F19">
        <v>107</v>
      </c>
      <c r="G19" t="s">
        <v>141</v>
      </c>
      <c r="H19" t="s">
        <v>142</v>
      </c>
      <c r="I19">
        <v>50000</v>
      </c>
      <c r="M19" s="29"/>
      <c r="N19" s="29"/>
      <c r="O19" s="29"/>
    </row>
    <row r="20" spans="6:15">
      <c r="F20">
        <v>108</v>
      </c>
      <c r="G20" t="s">
        <v>143</v>
      </c>
      <c r="H20" t="s">
        <v>140</v>
      </c>
      <c r="I20">
        <v>65000</v>
      </c>
      <c r="M20" s="29"/>
      <c r="N20" s="29"/>
      <c r="O20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E9AE-3CD0-4D8F-B924-6D3DFAF141BC}">
  <dimension ref="A1:Q12"/>
  <sheetViews>
    <sheetView tabSelected="1" topLeftCell="B1" workbookViewId="0">
      <selection activeCell="F10" sqref="F10"/>
    </sheetView>
  </sheetViews>
  <sheetFormatPr defaultRowHeight="15"/>
  <cols>
    <col min="3" max="3" width="11.7109375" bestFit="1" customWidth="1"/>
  </cols>
  <sheetData>
    <row r="1" spans="1:17" ht="23.25">
      <c r="A1" s="19" t="s">
        <v>144</v>
      </c>
      <c r="B1" s="19" t="s">
        <v>145</v>
      </c>
      <c r="C1" s="19" t="s">
        <v>146</v>
      </c>
      <c r="J1" s="18" t="s">
        <v>147</v>
      </c>
    </row>
    <row r="2" spans="1:17">
      <c r="A2">
        <v>10</v>
      </c>
      <c r="B2">
        <v>2</v>
      </c>
      <c r="C2" t="s">
        <v>122</v>
      </c>
      <c r="D2">
        <f t="shared" ref="D2:D11" si="0">IFERROR(A2/B2,0)</f>
        <v>5</v>
      </c>
      <c r="E2">
        <f t="shared" ref="E2:E11" si="1">A2/B2</f>
        <v>5</v>
      </c>
      <c r="F2" t="b">
        <f t="shared" ref="F2:F11" si="2">ISERROR(A2/B2)</f>
        <v>0</v>
      </c>
      <c r="G2">
        <f>IFERROR(VLOOKUP(C2,'Index Match'!A1:B6,2,0),"Not Found")</f>
        <v>50</v>
      </c>
      <c r="H2">
        <f>IF(A2="","Missing Data",IFERROR(A2/B2,"Error"))</f>
        <v>5</v>
      </c>
      <c r="J2" s="3" t="s">
        <v>148</v>
      </c>
    </row>
    <row r="3" spans="1:17">
      <c r="A3">
        <v>20</v>
      </c>
      <c r="B3">
        <v>0</v>
      </c>
      <c r="C3" t="s">
        <v>123</v>
      </c>
      <c r="D3">
        <f t="shared" si="0"/>
        <v>0</v>
      </c>
      <c r="E3" t="e">
        <f t="shared" si="1"/>
        <v>#DIV/0!</v>
      </c>
      <c r="F3" t="b">
        <f t="shared" si="2"/>
        <v>1</v>
      </c>
      <c r="G3">
        <f>IFERROR(VLOOKUP(C3,'Index Match'!A2:B7,2,0),"Not Found")</f>
        <v>20</v>
      </c>
      <c r="H3" t="str">
        <f t="shared" ref="H3:H12" si="3">IF(A3="","Missing Data",IFERROR(A3/B3,"Error"))</f>
        <v>Error</v>
      </c>
      <c r="J3" s="3" t="s">
        <v>149</v>
      </c>
    </row>
    <row r="4" spans="1:17">
      <c r="A4">
        <v>30</v>
      </c>
      <c r="B4">
        <v>5</v>
      </c>
      <c r="C4" t="s">
        <v>125</v>
      </c>
      <c r="D4">
        <f t="shared" si="0"/>
        <v>6</v>
      </c>
      <c r="E4">
        <f t="shared" si="1"/>
        <v>6</v>
      </c>
      <c r="F4" t="b">
        <f t="shared" si="2"/>
        <v>0</v>
      </c>
      <c r="G4">
        <f>IFERROR(VLOOKUP(C4,'Index Match'!A3:B8,2,0),"Not Found")</f>
        <v>60</v>
      </c>
      <c r="H4">
        <f t="shared" si="3"/>
        <v>6</v>
      </c>
      <c r="J4" s="3" t="s">
        <v>150</v>
      </c>
    </row>
    <row r="5" spans="1:17">
      <c r="A5">
        <v>40</v>
      </c>
      <c r="C5" t="s">
        <v>127</v>
      </c>
      <c r="D5">
        <f t="shared" si="0"/>
        <v>0</v>
      </c>
      <c r="E5" t="e">
        <f t="shared" si="1"/>
        <v>#DIV/0!</v>
      </c>
      <c r="F5" t="b">
        <f t="shared" si="2"/>
        <v>1</v>
      </c>
      <c r="G5">
        <f>IFERROR(VLOOKUP(C5,'Index Match'!A4:B9,2,0),"Not Found")</f>
        <v>40</v>
      </c>
      <c r="H5" t="str">
        <f t="shared" si="3"/>
        <v>Error</v>
      </c>
      <c r="J5" s="3" t="s">
        <v>151</v>
      </c>
    </row>
    <row r="6" spans="1:17">
      <c r="A6">
        <v>50</v>
      </c>
      <c r="B6">
        <v>10</v>
      </c>
      <c r="C6" t="s">
        <v>128</v>
      </c>
      <c r="D6">
        <f t="shared" si="0"/>
        <v>5</v>
      </c>
      <c r="E6">
        <f t="shared" si="1"/>
        <v>5</v>
      </c>
      <c r="F6" t="b">
        <f t="shared" si="2"/>
        <v>0</v>
      </c>
      <c r="G6">
        <f>IFERROR(VLOOKUP(C6,'Index Match'!A5:B10,2,0),"Not Found")</f>
        <v>30</v>
      </c>
      <c r="H6">
        <f t="shared" si="3"/>
        <v>5</v>
      </c>
      <c r="J6" s="3" t="s">
        <v>152</v>
      </c>
      <c r="Q6" t="s">
        <v>153</v>
      </c>
    </row>
    <row r="7" spans="1:17">
      <c r="A7">
        <v>60</v>
      </c>
      <c r="B7">
        <v>0</v>
      </c>
      <c r="C7" t="s">
        <v>154</v>
      </c>
      <c r="D7">
        <f t="shared" si="0"/>
        <v>0</v>
      </c>
      <c r="E7" t="e">
        <f t="shared" si="1"/>
        <v>#DIV/0!</v>
      </c>
      <c r="F7" t="b">
        <f t="shared" si="2"/>
        <v>1</v>
      </c>
      <c r="G7" t="str">
        <f>IFERROR(VLOOKUP(C7,'Index Match'!A6:B11,2,0),"Not Found")</f>
        <v>Not Found</v>
      </c>
      <c r="H7" t="str">
        <f t="shared" si="3"/>
        <v>Error</v>
      </c>
      <c r="J7" s="3" t="s">
        <v>155</v>
      </c>
    </row>
    <row r="8" spans="1:17">
      <c r="B8">
        <v>15</v>
      </c>
      <c r="C8" t="s">
        <v>156</v>
      </c>
      <c r="D8">
        <f t="shared" si="0"/>
        <v>0</v>
      </c>
      <c r="E8">
        <f t="shared" si="1"/>
        <v>0</v>
      </c>
      <c r="F8" t="b">
        <f t="shared" si="2"/>
        <v>0</v>
      </c>
      <c r="G8" t="str">
        <f>IFERROR(VLOOKUP(C8,'Index Match'!A7:B12,2,0),"Not Found")</f>
        <v>Not Found</v>
      </c>
      <c r="H8" t="str">
        <f t="shared" si="3"/>
        <v>Missing Data</v>
      </c>
      <c r="J8" s="3" t="s">
        <v>157</v>
      </c>
    </row>
    <row r="9" spans="1:17">
      <c r="A9">
        <v>80</v>
      </c>
      <c r="B9">
        <v>20</v>
      </c>
      <c r="C9" t="s">
        <v>158</v>
      </c>
      <c r="D9">
        <f t="shared" si="0"/>
        <v>4</v>
      </c>
      <c r="E9">
        <f t="shared" si="1"/>
        <v>4</v>
      </c>
      <c r="F9" t="b">
        <f t="shared" si="2"/>
        <v>0</v>
      </c>
      <c r="G9" t="str">
        <f>IFERROR(VLOOKUP(C9,'Index Match'!A8:B13,2,0),"Not Found")</f>
        <v>Not Found</v>
      </c>
      <c r="H9">
        <f t="shared" si="3"/>
        <v>4</v>
      </c>
      <c r="J9" s="3" t="s">
        <v>159</v>
      </c>
    </row>
    <row r="10" spans="1:17">
      <c r="A10">
        <v>90</v>
      </c>
      <c r="B10">
        <v>0</v>
      </c>
      <c r="C10" t="s">
        <v>160</v>
      </c>
      <c r="D10">
        <f t="shared" si="0"/>
        <v>0</v>
      </c>
      <c r="E10" t="e">
        <f t="shared" si="1"/>
        <v>#DIV/0!</v>
      </c>
      <c r="F10" t="b">
        <f t="shared" si="2"/>
        <v>1</v>
      </c>
      <c r="G10" t="str">
        <f>IFERROR(VLOOKUP(C10,'Index Match'!A9:B14,2,0),"Not Found")</f>
        <v>Not Found</v>
      </c>
      <c r="H10" t="str">
        <f t="shared" si="3"/>
        <v>Error</v>
      </c>
      <c r="J10" s="3" t="s">
        <v>161</v>
      </c>
    </row>
    <row r="11" spans="1:17">
      <c r="A11">
        <v>100</v>
      </c>
      <c r="C11" t="s">
        <v>162</v>
      </c>
      <c r="D11">
        <f t="shared" si="0"/>
        <v>0</v>
      </c>
      <c r="E11" t="e">
        <f t="shared" si="1"/>
        <v>#DIV/0!</v>
      </c>
      <c r="F11" t="b">
        <f t="shared" si="2"/>
        <v>1</v>
      </c>
      <c r="G11" t="str">
        <f>IFERROR(VLOOKUP(C11,'Index Match'!A10:B15,2,0),"Not Found")</f>
        <v>Not Found</v>
      </c>
      <c r="H11" t="str">
        <f t="shared" si="3"/>
        <v>Error</v>
      </c>
      <c r="J11" s="3" t="s">
        <v>163</v>
      </c>
    </row>
    <row r="12" spans="1:17">
      <c r="G12" t="str">
        <f>IFERROR(VLOOKUP(C12,'Index Match'!A11:B16,2,0),"Not Found")</f>
        <v>Not Found</v>
      </c>
      <c r="H12" t="str">
        <f t="shared" si="3"/>
        <v>Missing Data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DF41-63FC-4B8E-A315-104ED852BD85}">
  <dimension ref="A1:P43"/>
  <sheetViews>
    <sheetView workbookViewId="0">
      <selection activeCell="O8" sqref="O8:P10"/>
    </sheetView>
  </sheetViews>
  <sheetFormatPr defaultRowHeight="15"/>
  <sheetData>
    <row r="1" spans="1:16" ht="23.25">
      <c r="A1" s="18" t="s">
        <v>164</v>
      </c>
    </row>
    <row r="2" spans="1:16">
      <c r="A2" s="6"/>
    </row>
    <row r="3" spans="1:16">
      <c r="A3" s="7" t="str">
        <f>IFERROR(A2/B2,"Error")</f>
        <v>Error</v>
      </c>
    </row>
    <row r="5" spans="1:16">
      <c r="A5" t="s">
        <v>165</v>
      </c>
    </row>
    <row r="6" spans="1:16">
      <c r="A6" s="6"/>
    </row>
    <row r="7" spans="1:16">
      <c r="A7" s="11" t="s">
        <v>166</v>
      </c>
    </row>
    <row r="8" spans="1:16">
      <c r="O8">
        <v>25</v>
      </c>
      <c r="P8">
        <v>78</v>
      </c>
    </row>
    <row r="9" spans="1:16">
      <c r="A9" t="s">
        <v>167</v>
      </c>
      <c r="O9">
        <v>45</v>
      </c>
      <c r="P9">
        <v>65</v>
      </c>
    </row>
    <row r="10" spans="1:16">
      <c r="A10" s="6"/>
      <c r="O10">
        <v>6</v>
      </c>
      <c r="P10">
        <v>41</v>
      </c>
    </row>
    <row r="11" spans="1:16">
      <c r="A11" s="11" t="s">
        <v>168</v>
      </c>
    </row>
    <row r="13" spans="1:16">
      <c r="A13" t="s">
        <v>169</v>
      </c>
      <c r="P13">
        <f t="array" ref="P13">SUM(O8:O10+P8:P10)</f>
        <v>260</v>
      </c>
    </row>
    <row r="14" spans="1:16">
      <c r="A14" s="6"/>
    </row>
    <row r="15" spans="1:16">
      <c r="A15" s="11" t="s">
        <v>170</v>
      </c>
    </row>
    <row r="17" spans="1:1">
      <c r="A17" t="s">
        <v>171</v>
      </c>
    </row>
    <row r="18" spans="1:1">
      <c r="A18" s="6"/>
    </row>
    <row r="19" spans="1:1">
      <c r="A19" s="11" t="s">
        <v>153</v>
      </c>
    </row>
    <row r="21" spans="1:1">
      <c r="A21" t="s">
        <v>172</v>
      </c>
    </row>
    <row r="22" spans="1:1">
      <c r="A22" s="6"/>
    </row>
    <row r="23" spans="1:1">
      <c r="A23" s="7" t="s">
        <v>173</v>
      </c>
    </row>
    <row r="25" spans="1:1">
      <c r="A25" t="s">
        <v>174</v>
      </c>
    </row>
    <row r="26" spans="1:1">
      <c r="A26" s="6"/>
    </row>
    <row r="27" spans="1:1">
      <c r="A27" s="7" t="s">
        <v>175</v>
      </c>
    </row>
    <row r="29" spans="1:1">
      <c r="A29" t="s">
        <v>176</v>
      </c>
    </row>
    <row r="30" spans="1:1">
      <c r="A30" s="6"/>
    </row>
    <row r="31" spans="1:1">
      <c r="A31" s="7" t="str">
        <f>IF(A2="","Missing Data",IFERROR(A2/B2,"Error"))</f>
        <v>Missing Data</v>
      </c>
    </row>
    <row r="33" spans="1:1">
      <c r="A33" t="s">
        <v>177</v>
      </c>
    </row>
    <row r="34" spans="1:1">
      <c r="A34" t="s">
        <v>178</v>
      </c>
    </row>
    <row r="35" spans="1:1">
      <c r="A35" t="s">
        <v>179</v>
      </c>
    </row>
    <row r="36" spans="1:1">
      <c r="A36" s="6"/>
    </row>
    <row r="37" spans="1:1">
      <c r="A37" s="7" t="s">
        <v>180</v>
      </c>
    </row>
    <row r="39" spans="1:1">
      <c r="A39" t="s">
        <v>181</v>
      </c>
    </row>
    <row r="40" spans="1:1">
      <c r="A40" s="6"/>
    </row>
    <row r="41" spans="1:1">
      <c r="A41" s="11" t="s">
        <v>182</v>
      </c>
    </row>
    <row r="43" spans="1:1">
      <c r="A43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2025-08-19T12:53:10Z</dcterms:created>
  <dcterms:modified xsi:type="dcterms:W3CDTF">2026-03-11T14:17:03Z</dcterms:modified>
  <cp:category/>
  <cp:contentStatus/>
</cp:coreProperties>
</file>