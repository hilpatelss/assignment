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3F0F207-53BA-47F5-A933-0CE0C07D25D6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Sales_2025" sheetId="3" r:id="rId1"/>
    <sheet name="Group 1 (Sales)" sheetId="7" r:id="rId2"/>
    <sheet name="Main Data - Employees" sheetId="4" r:id="rId3"/>
    <sheet name="Group 2 (Employees)" sheetId="8" r:id="rId4"/>
    <sheet name="Employees" sheetId="11" r:id="rId5"/>
    <sheet name="Students_Grades" sheetId="5" r:id="rId6"/>
    <sheet name="Group 3 (Students)" sheetId="9" r:id="rId7"/>
    <sheet name="Main Data - Products" sheetId="6" r:id="rId8"/>
    <sheet name="Group 4 (Products)" sheetId="10" r:id="rId9"/>
    <sheet name="Products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F77" i="6"/>
  <c r="F26" i="6"/>
  <c r="F41" i="6"/>
  <c r="F101" i="6"/>
  <c r="F36" i="6"/>
  <c r="F19" i="6"/>
  <c r="F68" i="6"/>
  <c r="F13" i="6"/>
  <c r="F56" i="6"/>
  <c r="F96" i="6"/>
  <c r="F32" i="6"/>
  <c r="F64" i="6"/>
  <c r="F18" i="6"/>
  <c r="F98" i="6"/>
  <c r="F8" i="6"/>
  <c r="F39" i="6"/>
  <c r="F91" i="6"/>
  <c r="F62" i="6"/>
  <c r="F87" i="6"/>
  <c r="F99" i="6"/>
  <c r="F49" i="6"/>
  <c r="F23" i="6"/>
  <c r="F59" i="6"/>
  <c r="F61" i="6"/>
  <c r="F74" i="6"/>
  <c r="F100" i="6"/>
  <c r="F43" i="6"/>
  <c r="F82" i="6"/>
  <c r="F51" i="6"/>
  <c r="F9" i="6"/>
  <c r="F78" i="6"/>
  <c r="F72" i="6"/>
  <c r="F27" i="6"/>
  <c r="F47" i="6"/>
  <c r="F22" i="6"/>
  <c r="F94" i="6"/>
  <c r="F21" i="6"/>
  <c r="F5" i="6"/>
  <c r="F28" i="6"/>
  <c r="F58" i="6"/>
  <c r="F93" i="6"/>
  <c r="F84" i="6"/>
  <c r="F80" i="6"/>
  <c r="F85" i="6"/>
  <c r="F25" i="6"/>
  <c r="F70" i="6"/>
  <c r="F20" i="6"/>
  <c r="F83" i="6"/>
  <c r="F37" i="6"/>
  <c r="F42" i="6"/>
  <c r="F88" i="6"/>
  <c r="F3" i="6"/>
  <c r="F12" i="6"/>
  <c r="F44" i="6"/>
  <c r="F17" i="6"/>
  <c r="F90" i="6"/>
  <c r="F48" i="6"/>
  <c r="F92" i="6"/>
  <c r="F81" i="6"/>
  <c r="F57" i="6"/>
  <c r="F46" i="6"/>
  <c r="F33" i="6"/>
  <c r="F38" i="6"/>
  <c r="F45" i="6"/>
  <c r="F86" i="6"/>
  <c r="F11" i="6"/>
  <c r="F55" i="6"/>
  <c r="F60" i="6"/>
  <c r="F40" i="6"/>
  <c r="F79" i="6"/>
  <c r="F6" i="6"/>
  <c r="F24" i="6"/>
  <c r="F65" i="6"/>
  <c r="F2" i="6"/>
  <c r="F71" i="6"/>
  <c r="F14" i="6"/>
  <c r="F31" i="6"/>
  <c r="F16" i="6"/>
  <c r="F69" i="6"/>
  <c r="F34" i="6"/>
  <c r="F10" i="6"/>
  <c r="F97" i="6"/>
  <c r="F75" i="6"/>
  <c r="F54" i="6"/>
  <c r="F73" i="6"/>
  <c r="F53" i="6"/>
  <c r="F30" i="6"/>
  <c r="F4" i="6"/>
  <c r="F89" i="6"/>
  <c r="F50" i="6"/>
  <c r="F63" i="6"/>
  <c r="F29" i="6"/>
  <c r="F76" i="6"/>
  <c r="F95" i="6"/>
  <c r="F52" i="6"/>
  <c r="F7" i="6"/>
  <c r="F67" i="6"/>
  <c r="F15" i="6"/>
  <c r="F35" i="6"/>
  <c r="F66" i="6"/>
  <c r="P6" i="6"/>
  <c r="P5" i="6"/>
  <c r="P4" i="6"/>
  <c r="M4" i="6"/>
  <c r="M5" i="6"/>
  <c r="M6" i="6"/>
  <c r="M7" i="6"/>
  <c r="M8" i="6"/>
  <c r="M9" i="6"/>
  <c r="M10" i="6"/>
  <c r="M11" i="6"/>
  <c r="M12" i="6"/>
  <c r="M3" i="6"/>
  <c r="D102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R6" i="5"/>
  <c r="R5" i="5"/>
  <c r="R4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Q5" i="4"/>
  <c r="N6" i="4"/>
  <c r="N7" i="4"/>
  <c r="N8" i="4"/>
  <c r="N9" i="4"/>
  <c r="N10" i="4"/>
  <c r="N5" i="4"/>
  <c r="F102" i="4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I4" i="3"/>
  <c r="I5" i="3"/>
  <c r="I6" i="3"/>
  <c r="I7" i="3"/>
  <c r="I8" i="3"/>
  <c r="I9" i="3"/>
  <c r="I10" i="3"/>
  <c r="I11" i="3"/>
  <c r="I12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J4" i="3"/>
  <c r="J5" i="3"/>
  <c r="J6" i="3"/>
  <c r="J7" i="3"/>
  <c r="J8" i="3"/>
  <c r="J9" i="3"/>
  <c r="J10" i="3"/>
  <c r="J11" i="3"/>
  <c r="J12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H5" i="3"/>
  <c r="H4" i="3"/>
  <c r="H6" i="3"/>
  <c r="H7" i="3"/>
  <c r="H8" i="3"/>
  <c r="H9" i="3"/>
  <c r="H10" i="3"/>
  <c r="H11" i="3"/>
  <c r="H12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O11" i="3"/>
  <c r="O10" i="3"/>
  <c r="O9" i="3"/>
  <c r="O6" i="3"/>
  <c r="O7" i="3"/>
  <c r="O8" i="3"/>
  <c r="O5" i="3"/>
  <c r="F103" i="3"/>
  <c r="G4" i="3"/>
  <c r="G30" i="3"/>
  <c r="G80" i="3"/>
  <c r="G13" i="3"/>
  <c r="G57" i="3"/>
  <c r="G81" i="3"/>
  <c r="G31" i="3"/>
  <c r="G58" i="3"/>
  <c r="G32" i="3"/>
  <c r="G33" i="3"/>
  <c r="G14" i="3"/>
  <c r="G59" i="3"/>
  <c r="G60" i="3"/>
  <c r="G15" i="3"/>
  <c r="G82" i="3"/>
  <c r="G34" i="3"/>
  <c r="G5" i="3"/>
  <c r="G35" i="3"/>
  <c r="G36" i="3"/>
  <c r="G83" i="3"/>
  <c r="G37" i="3"/>
  <c r="G16" i="3"/>
  <c r="G17" i="3"/>
  <c r="G61" i="3"/>
  <c r="G6" i="3"/>
  <c r="G38" i="3"/>
  <c r="G39" i="3"/>
  <c r="G84" i="3"/>
  <c r="G18" i="3"/>
  <c r="G7" i="3"/>
  <c r="G62" i="3"/>
  <c r="G19" i="3"/>
  <c r="G63" i="3"/>
  <c r="G85" i="3"/>
  <c r="G86" i="3"/>
  <c r="G40" i="3"/>
  <c r="G8" i="3"/>
  <c r="G64" i="3"/>
  <c r="G20" i="3"/>
  <c r="G87" i="3"/>
  <c r="G41" i="3"/>
  <c r="G42" i="3"/>
  <c r="G65" i="3"/>
  <c r="G88" i="3"/>
  <c r="G9" i="3"/>
  <c r="G89" i="3"/>
  <c r="G66" i="3"/>
  <c r="G67" i="3"/>
  <c r="G90" i="3"/>
  <c r="G68" i="3"/>
  <c r="G91" i="3"/>
  <c r="G21" i="3"/>
  <c r="G92" i="3"/>
  <c r="G93" i="3"/>
  <c r="G69" i="3"/>
  <c r="G70" i="3"/>
  <c r="G43" i="3"/>
  <c r="G44" i="3"/>
  <c r="G22" i="3"/>
  <c r="G45" i="3"/>
  <c r="G94" i="3"/>
  <c r="G71" i="3"/>
  <c r="G46" i="3"/>
  <c r="G47" i="3"/>
  <c r="G23" i="3"/>
  <c r="G24" i="3"/>
  <c r="G95" i="3"/>
  <c r="G72" i="3"/>
  <c r="G25" i="3"/>
  <c r="G48" i="3"/>
  <c r="G73" i="3"/>
  <c r="G74" i="3"/>
  <c r="G49" i="3"/>
  <c r="G26" i="3"/>
  <c r="G50" i="3"/>
  <c r="G75" i="3"/>
  <c r="G10" i="3"/>
  <c r="G11" i="3"/>
  <c r="G96" i="3"/>
  <c r="G51" i="3"/>
  <c r="G52" i="3"/>
  <c r="G97" i="3"/>
  <c r="G98" i="3"/>
  <c r="G99" i="3"/>
  <c r="G76" i="3"/>
  <c r="G53" i="3"/>
  <c r="G77" i="3"/>
  <c r="G100" i="3"/>
  <c r="G54" i="3"/>
  <c r="G78" i="3"/>
  <c r="G79" i="3"/>
  <c r="G101" i="3"/>
  <c r="G55" i="3"/>
  <c r="G102" i="3"/>
  <c r="G56" i="3"/>
  <c r="G12" i="3"/>
  <c r="G27" i="3"/>
  <c r="G28" i="3"/>
  <c r="G29" i="3"/>
</calcChain>
</file>

<file path=xl/sharedStrings.xml><?xml version="1.0" encoding="utf-8"?>
<sst xmlns="http://schemas.openxmlformats.org/spreadsheetml/2006/main" count="1396" uniqueCount="426">
  <si>
    <t>Date</t>
  </si>
  <si>
    <t>Region</t>
  </si>
  <si>
    <t>Product</t>
  </si>
  <si>
    <t>Quantity</t>
  </si>
  <si>
    <t>Amount</t>
  </si>
  <si>
    <t>Discount</t>
  </si>
  <si>
    <t>Day</t>
  </si>
  <si>
    <t>Month</t>
  </si>
  <si>
    <t>Year</t>
  </si>
  <si>
    <t>Sales</t>
  </si>
  <si>
    <t>Target</t>
  </si>
  <si>
    <t>North</t>
  </si>
  <si>
    <t>Headphones</t>
  </si>
  <si>
    <t>Column1</t>
  </si>
  <si>
    <t>Column2</t>
  </si>
  <si>
    <t>East</t>
  </si>
  <si>
    <t>West</t>
  </si>
  <si>
    <t>South</t>
  </si>
  <si>
    <t>Max sale</t>
  </si>
  <si>
    <t>min sale</t>
  </si>
  <si>
    <t>Sale above &gt;30000</t>
  </si>
  <si>
    <t>Mobile</t>
  </si>
  <si>
    <t>Notebook</t>
  </si>
  <si>
    <t>Printer</t>
  </si>
  <si>
    <t>Tablet</t>
  </si>
  <si>
    <t>Q#</t>
  </si>
  <si>
    <t>Task</t>
  </si>
  <si>
    <t>Insert 2 rows at the top of dataset.</t>
  </si>
  <si>
    <t>Rename sheet as 'Sales_2025'.</t>
  </si>
  <si>
    <t>Apply Bold &amp; Center alignment to headers.</t>
  </si>
  <si>
    <t>Format Amount column as Currency (₹).</t>
  </si>
  <si>
    <t>Apply Conditional Formatting to highlight Amount &gt; 50,000.</t>
  </si>
  <si>
    <t>Insert a new column 'Discount' after Amount.</t>
  </si>
  <si>
    <t>Use Formula → Discount = Amount * 0.10.</t>
  </si>
  <si>
    <t>Find Total Sales using SUM.</t>
  </si>
  <si>
    <t>Find Average Sales per Region (example for East).</t>
  </si>
  <si>
    <t>Find Max and Min Sale.</t>
  </si>
  <si>
    <t>Count how many sales are above 30,000.</t>
  </si>
  <si>
    <t>Sort data by Product A–Z.</t>
  </si>
  <si>
    <t>Filter to show only Region = East.</t>
  </si>
  <si>
    <t>Find &amp; Replace 'Laptop' → 'Notebook'.</t>
  </si>
  <si>
    <t>Use Text to Columns → Split Date into Day, Month, Year.</t>
  </si>
  <si>
    <t>Remove duplicate rows.</t>
  </si>
  <si>
    <t>Data Validation → Quantity must be between 1 and 100.</t>
  </si>
  <si>
    <t>IF → If Amount &gt; 40,000 show 'High' else 'Low'.</t>
  </si>
  <si>
    <t>AND → If Region = 'North' AND Amount &gt; 50,000 show 'Target Achieved'.</t>
  </si>
  <si>
    <t>Pivot Table → Show Sum of Amount by Region.</t>
  </si>
  <si>
    <t>EmployeeID</t>
  </si>
  <si>
    <t>First Name</t>
  </si>
  <si>
    <t>Last Name</t>
  </si>
  <si>
    <t>Dept</t>
  </si>
  <si>
    <t>DOJ</t>
  </si>
  <si>
    <t>Salary</t>
  </si>
  <si>
    <t>Bonus Eligible</t>
  </si>
  <si>
    <t>Trainer Eligible</t>
  </si>
  <si>
    <t>EMP1000</t>
  </si>
  <si>
    <t>Meera</t>
  </si>
  <si>
    <t>Gupta</t>
  </si>
  <si>
    <t>Admin</t>
  </si>
  <si>
    <t>EMP1015</t>
  </si>
  <si>
    <t>Amit</t>
  </si>
  <si>
    <t>Singh</t>
  </si>
  <si>
    <t>EMP1017</t>
  </si>
  <si>
    <t>Ravi</t>
  </si>
  <si>
    <t>Average</t>
  </si>
  <si>
    <t>EMP1021</t>
  </si>
  <si>
    <t>Divya</t>
  </si>
  <si>
    <t>Verma</t>
  </si>
  <si>
    <t>who joined after 01-01-2023.</t>
  </si>
  <si>
    <t>EMP1022</t>
  </si>
  <si>
    <t>Neha</t>
  </si>
  <si>
    <t>Patel</t>
  </si>
  <si>
    <t>Finance</t>
  </si>
  <si>
    <t>EMP1026</t>
  </si>
  <si>
    <t>Roshni</t>
  </si>
  <si>
    <t>Human Resource</t>
  </si>
  <si>
    <t>EMP1028</t>
  </si>
  <si>
    <t>Raj</t>
  </si>
  <si>
    <t>Bose</t>
  </si>
  <si>
    <t>IT</t>
  </si>
  <si>
    <t>EMP1031</t>
  </si>
  <si>
    <t>Marketing</t>
  </si>
  <si>
    <t>EMP1040</t>
  </si>
  <si>
    <t>Pooja</t>
  </si>
  <si>
    <t>Sharma</t>
  </si>
  <si>
    <t>EMP1049</t>
  </si>
  <si>
    <t>Simran</t>
  </si>
  <si>
    <t>EMP1056</t>
  </si>
  <si>
    <t>EMP1064</t>
  </si>
  <si>
    <t>Vikas</t>
  </si>
  <si>
    <t>Nair</t>
  </si>
  <si>
    <t>EMP1073</t>
  </si>
  <si>
    <t>Kapoor</t>
  </si>
  <si>
    <t>EMP1080</t>
  </si>
  <si>
    <t>EMP1091</t>
  </si>
  <si>
    <t>EMP1098</t>
  </si>
  <si>
    <t>Kunal</t>
  </si>
  <si>
    <t>EMP1009</t>
  </si>
  <si>
    <t>Sahil</t>
  </si>
  <si>
    <t>Iyer</t>
  </si>
  <si>
    <t>EMP1010</t>
  </si>
  <si>
    <t>EMP1024</t>
  </si>
  <si>
    <t>EMP1033</t>
  </si>
  <si>
    <t>EMP1052</t>
  </si>
  <si>
    <t>Mehta</t>
  </si>
  <si>
    <t>EMP1057</t>
  </si>
  <si>
    <t>EMP1061</t>
  </si>
  <si>
    <t>EMP1072</t>
  </si>
  <si>
    <t>Sonia</t>
  </si>
  <si>
    <t>EMP1081</t>
  </si>
  <si>
    <t>EMP1088</t>
  </si>
  <si>
    <t>EMP1092</t>
  </si>
  <si>
    <t>EMP1094</t>
  </si>
  <si>
    <t>EMP1006</t>
  </si>
  <si>
    <t>EMP1011</t>
  </si>
  <si>
    <t>EMP1030</t>
  </si>
  <si>
    <t>EMP1032</t>
  </si>
  <si>
    <t>EMP1037</t>
  </si>
  <si>
    <t>EMP1042</t>
  </si>
  <si>
    <t>EMP1044</t>
  </si>
  <si>
    <t>EMP1045</t>
  </si>
  <si>
    <t>EMP1050</t>
  </si>
  <si>
    <t>EMP1053</t>
  </si>
  <si>
    <t>EMP1054</t>
  </si>
  <si>
    <t>EMP1079</t>
  </si>
  <si>
    <t>Priya</t>
  </si>
  <si>
    <t>EMP1083</t>
  </si>
  <si>
    <t>EMP1084</t>
  </si>
  <si>
    <t>Arjun</t>
  </si>
  <si>
    <t>EMP1089</t>
  </si>
  <si>
    <t>EMP1090</t>
  </si>
  <si>
    <t>Tarun</t>
  </si>
  <si>
    <t>EMP1093</t>
  </si>
  <si>
    <t>Reema</t>
  </si>
  <si>
    <t>EMP1097</t>
  </si>
  <si>
    <t>EMP1016</t>
  </si>
  <si>
    <t>EMP1018</t>
  </si>
  <si>
    <t>EMP1023</t>
  </si>
  <si>
    <t>EMP1025</t>
  </si>
  <si>
    <t>EMP1034</t>
  </si>
  <si>
    <t>EMP1036</t>
  </si>
  <si>
    <t>EMP1039</t>
  </si>
  <si>
    <t>EMP1043</t>
  </si>
  <si>
    <t>EMP1051</t>
  </si>
  <si>
    <t>Manish</t>
  </si>
  <si>
    <t>EMP1060</t>
  </si>
  <si>
    <t>EMP1063</t>
  </si>
  <si>
    <t>Deepak</t>
  </si>
  <si>
    <t>EMP1065</t>
  </si>
  <si>
    <t>EMP1074</t>
  </si>
  <si>
    <t>EMP1075</t>
  </si>
  <si>
    <t>EMP1082</t>
  </si>
  <si>
    <t>EMP1086</t>
  </si>
  <si>
    <t>EMP1095</t>
  </si>
  <si>
    <t>EMP1099</t>
  </si>
  <si>
    <t>EMP1001</t>
  </si>
  <si>
    <t>EMP1008</t>
  </si>
  <si>
    <t>EMP1027</t>
  </si>
  <si>
    <t>EMP1029</t>
  </si>
  <si>
    <t>EMP1035</t>
  </si>
  <si>
    <t>EMP1038</t>
  </si>
  <si>
    <t>EMP1046</t>
  </si>
  <si>
    <t>EMP1047</t>
  </si>
  <si>
    <t>EMP1058</t>
  </si>
  <si>
    <t>EMP1059</t>
  </si>
  <si>
    <t>Nisha</t>
  </si>
  <si>
    <t>EMP1062</t>
  </si>
  <si>
    <t>EMP1066</t>
  </si>
  <si>
    <t>EMP1070</t>
  </si>
  <si>
    <t>EMP1076</t>
  </si>
  <si>
    <t>EMP1085</t>
  </si>
  <si>
    <t>EMP1087</t>
  </si>
  <si>
    <t>EMP1002</t>
  </si>
  <si>
    <t>EMP1003</t>
  </si>
  <si>
    <t>EMP1004</t>
  </si>
  <si>
    <t>EMP1005</t>
  </si>
  <si>
    <t>EMP1007</t>
  </si>
  <si>
    <t>EMP1012</t>
  </si>
  <si>
    <t>EMP1013</t>
  </si>
  <si>
    <t>EMP1014</t>
  </si>
  <si>
    <t>EMP1019</t>
  </si>
  <si>
    <t>EMP1020</t>
  </si>
  <si>
    <t>EMP1041</t>
  </si>
  <si>
    <t>EMP1048</t>
  </si>
  <si>
    <t>EMP1055</t>
  </si>
  <si>
    <t>EMP1067</t>
  </si>
  <si>
    <t>EMP1068</t>
  </si>
  <si>
    <t>EMP1069</t>
  </si>
  <si>
    <t>EMP1071</t>
  </si>
  <si>
    <t>EMP1077</t>
  </si>
  <si>
    <t>EMP1078</t>
  </si>
  <si>
    <t>EMP1096</t>
  </si>
  <si>
    <t>Insert a new sheet and name it 'Employees'.</t>
  </si>
  <si>
    <t>Enter today’s date using shortcut.</t>
  </si>
  <si>
    <t>Copy &amp; paste Dept column into a new sheet.</t>
  </si>
  <si>
    <t>Apply cell style → Good to Salary column.</t>
  </si>
  <si>
    <t>Format Salary as Accounting (₹).</t>
  </si>
  <si>
    <t>Apply Conditional Formatting → Highlight Salary &lt; 30,000.</t>
  </si>
  <si>
    <t>Calculate Total Salary.</t>
  </si>
  <si>
    <t>Calculate Average Salary per Dept (example HR).</t>
  </si>
  <si>
    <t>Find Maximum Salary in HR dept.</t>
  </si>
  <si>
    <t>Count employees who joined after 01-01-2023.</t>
  </si>
  <si>
    <t>Sort employees by DOJ (Newest first).</t>
  </si>
  <si>
    <t>Apply Filter → Show only Dept = IT.</t>
  </si>
  <si>
    <t>Find &amp; Replace 'HR' → 'Human Resource'.</t>
  </si>
  <si>
    <t>Use Text to Columns → Split Employee Name into First, Last Name.</t>
  </si>
  <si>
    <t>Remove duplicate Employee IDs.</t>
  </si>
  <si>
    <t>Data Validation → DOJ must be a date only.</t>
  </si>
  <si>
    <t>IF → If Salary &gt;= 50,000 → 'Bonus Eligible'.</t>
  </si>
  <si>
    <t>OR → If Dept = Sales OR IT → 'Trainer Eligible'.</t>
  </si>
  <si>
    <t>Pivot Table → Show Average Salary per Dept.</t>
  </si>
  <si>
    <t>Group DOJ column into Year-wise in Pivot Table.</t>
  </si>
  <si>
    <t>HR</t>
  </si>
  <si>
    <t>Name</t>
  </si>
  <si>
    <t>Subject</t>
  </si>
  <si>
    <t>Marks</t>
  </si>
  <si>
    <t>Grade</t>
  </si>
  <si>
    <t>Result</t>
  </si>
  <si>
    <t>Sum</t>
  </si>
  <si>
    <t>average</t>
  </si>
  <si>
    <t>Student 1</t>
  </si>
  <si>
    <t>History</t>
  </si>
  <si>
    <t>Student 12</t>
  </si>
  <si>
    <t>Student 10</t>
  </si>
  <si>
    <t>Science</t>
  </si>
  <si>
    <t>marks</t>
  </si>
  <si>
    <t>Mathematicsematics</t>
  </si>
  <si>
    <t>MIn</t>
  </si>
  <si>
    <t>Student 11</t>
  </si>
  <si>
    <t>max</t>
  </si>
  <si>
    <t>Student 13</t>
  </si>
  <si>
    <t>&gt;70</t>
  </si>
  <si>
    <t>Student 14</t>
  </si>
  <si>
    <t>Student 15</t>
  </si>
  <si>
    <t>English</t>
  </si>
  <si>
    <t>Student 17</t>
  </si>
  <si>
    <t>Student 18</t>
  </si>
  <si>
    <t>Student 19</t>
  </si>
  <si>
    <t>Student 2</t>
  </si>
  <si>
    <t>Computer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</si>
  <si>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</si>
  <si>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</si>
  <si>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</si>
  <si>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</si>
  <si>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</si>
  <si>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</si>
  <si>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</si>
  <si>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</si>
  <si>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29</t>
  </si>
  <si>
    <t>Student 3</t>
  </si>
  <si>
    <t>Student 30</t>
  </si>
  <si>
    <t>Student 31</t>
  </si>
  <si>
    <t>Student 32</t>
  </si>
  <si>
    <t>Student 33</t>
  </si>
  <si>
    <t>Student 35</t>
  </si>
  <si>
    <t>Student 36</t>
  </si>
  <si>
    <t>Student 37</t>
  </si>
  <si>
    <t>Student 38</t>
  </si>
  <si>
    <t>Student 39</t>
  </si>
  <si>
    <t>Student 4</t>
  </si>
  <si>
    <t>Student 40</t>
  </si>
  <si>
    <t>Student 5</t>
  </si>
  <si>
    <t>Student 6</t>
  </si>
  <si>
    <t>Student 7</t>
  </si>
  <si>
    <t>Student 8</t>
  </si>
  <si>
    <t>Insert a column for 'Grade'.</t>
  </si>
  <si>
    <t>Rename sheet as 'Students_Grades'.</t>
  </si>
  <si>
    <t>Apply bold + center to all headers.</t>
  </si>
  <si>
    <t>Format Marks column as Number with 1 decimal.</t>
  </si>
  <si>
    <t>Apply Conditional Formatting → Marks &lt; 35 red fill.</t>
  </si>
  <si>
    <t>Use SUM to calculate total marks.</t>
  </si>
  <si>
    <t>Use AVERAGE to find avg marks per student (example for Student 1).</t>
  </si>
  <si>
    <t>Find Max and Min Marks.</t>
  </si>
  <si>
    <t>Count how many scored more than 70.</t>
  </si>
  <si>
    <t>Sort Students by Name A–Z.</t>
  </si>
  <si>
    <t>Filter → Show only Subject = 'Math'.</t>
  </si>
  <si>
    <t>Find &amp; Replace 'Math' → 'Mathematics'.</t>
  </si>
  <si>
    <t>Use Text to Columns → Split Full Name into First, Last (if applicable).</t>
  </si>
  <si>
    <t>Remove duplicate student names.</t>
  </si>
  <si>
    <t>Data Validation → Marks should be between 0–100 only.</t>
  </si>
  <si>
    <t>IF → Marks &gt;= 35 → 'Pass' else 'Fail'.</t>
  </si>
  <si>
    <t>Nested IF → Marks &gt;= 75 'Distinction', &gt;= 60 'First', &gt;= 35 'Pass', else 'Fail'.</t>
  </si>
  <si>
    <t>Pivot Table → Show Avg Marks per Subject.</t>
  </si>
  <si>
    <t>Pivot Table → Count Students per Grade.</t>
  </si>
  <si>
    <t>Group Subjects alphabetically and Ungroup.</t>
  </si>
  <si>
    <t>ProductCode</t>
  </si>
  <si>
    <t>Category</t>
  </si>
  <si>
    <t>Low</t>
  </si>
  <si>
    <t>Seller</t>
  </si>
  <si>
    <t xml:space="preserve">Category </t>
  </si>
  <si>
    <t>P10000</t>
  </si>
  <si>
    <t>Jeans</t>
  </si>
  <si>
    <t>Shoes</t>
  </si>
  <si>
    <t>P10001</t>
  </si>
  <si>
    <t>Toaster</t>
  </si>
  <si>
    <t>Clothing</t>
  </si>
  <si>
    <t>P10002</t>
  </si>
  <si>
    <t>Smartphone</t>
  </si>
  <si>
    <t>MIN</t>
  </si>
  <si>
    <t>P10003</t>
  </si>
  <si>
    <t>Smartwatch</t>
  </si>
  <si>
    <t>MAX</t>
  </si>
  <si>
    <t>P10004</t>
  </si>
  <si>
    <t>Shirt</t>
  </si>
  <si>
    <t>Grocery</t>
  </si>
  <si>
    <t>&gt;100</t>
  </si>
  <si>
    <t>P10005</t>
  </si>
  <si>
    <t>P10006</t>
  </si>
  <si>
    <t>Mixer</t>
  </si>
  <si>
    <t>P10007</t>
  </si>
  <si>
    <t>Laptop</t>
  </si>
  <si>
    <t>P10008</t>
  </si>
  <si>
    <t>P10009</t>
  </si>
  <si>
    <t>Home</t>
  </si>
  <si>
    <t>TV</t>
  </si>
  <si>
    <t>P10010</t>
  </si>
  <si>
    <t>Sneakers</t>
  </si>
  <si>
    <t>P10011</t>
  </si>
  <si>
    <t>Electronics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</si>
  <si>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</si>
  <si>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</si>
  <si>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</si>
  <si>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</si>
  <si>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</si>
  <si>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</si>
  <si>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</si>
  <si>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</si>
  <si>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</si>
  <si>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</si>
  <si>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</si>
  <si>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</si>
  <si>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</si>
  <si>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</si>
  <si>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</si>
  <si>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</si>
  <si>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</si>
  <si>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</si>
  <si>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</si>
  <si>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</si>
  <si>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</si>
  <si>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</si>
  <si>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</si>
  <si>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</si>
  <si>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</si>
  <si>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</si>
  <si>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</si>
  <si>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</si>
  <si>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</si>
  <si>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</si>
  <si>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</si>
  <si>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</si>
  <si>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</si>
  <si>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</si>
  <si>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</si>
  <si>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</si>
  <si>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</si>
  <si>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</si>
  <si>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</si>
  <si>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</si>
  <si>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</si>
  <si>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</si>
  <si>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</si>
  <si>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</si>
  <si>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</si>
  <si>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</si>
  <si>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</si>
  <si>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</si>
  <si>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</si>
  <si>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</si>
  <si>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</si>
  <si>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</si>
  <si>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</si>
  <si>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</si>
  <si>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</si>
  <si>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</si>
  <si>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</si>
  <si>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</si>
  <si>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</si>
  <si>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</si>
  <si>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</si>
  <si>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</si>
  <si>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</si>
  <si>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</si>
  <si>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</si>
  <si>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</si>
  <si>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</si>
  <si>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</si>
  <si>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</si>
  <si>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</si>
  <si>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</si>
  <si>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</si>
  <si>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</si>
  <si>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</si>
  <si>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</si>
  <si>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</si>
  <si>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</si>
  <si>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</si>
  <si>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</si>
  <si>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</si>
  <si>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</si>
  <si>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</si>
  <si>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</si>
  <si>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</si>
  <si>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</si>
  <si>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</si>
  <si>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</si>
  <si>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</si>
  <si>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Create a new worksheet 'Products'.</t>
  </si>
  <si>
    <t>Insert a column 'Category' after Product (if missing).</t>
  </si>
  <si>
    <t>Format Quantity as Number (0 decimals).</t>
  </si>
  <si>
    <t>Apply Conditional Formatting → Quantity &lt; 50 (highlight).</t>
  </si>
  <si>
    <t>Use SUM → Total Quantity sold.</t>
  </si>
  <si>
    <t>Use AVERAGE → Average Quantity per product (example 'Mobile').</t>
  </si>
  <si>
    <t>Find Max &amp; Min Quantity.</t>
  </si>
  <si>
    <t>Count how many product rows have Quantity &gt; 100.</t>
  </si>
  <si>
    <t>Sort data by Amount (Largest to Smallest).</t>
  </si>
  <si>
    <t>Apply Filter → Show only Category = 'Electronics'.</t>
  </si>
  <si>
    <t>Find &amp; Replace 'Mobile' → 'Smartphone'.</t>
  </si>
  <si>
    <t>Use Text to Columns → Split Product Code into Prefix &amp; ID.</t>
  </si>
  <si>
    <t>Remove duplicate Product Codes.</t>
  </si>
  <si>
    <t>Data Validation → Quantity only between 10–500.</t>
  </si>
  <si>
    <t>IF → If Amount &gt;= 20,000 → 'High Sale' else 'Low Sale'.</t>
  </si>
  <si>
    <t>AND → If Category = 'Electronics' AND Quantity &gt; 100 → 'Best Seller'.</t>
  </si>
  <si>
    <t>OR → If Category = 'Clothing' OR 'Shoes' → 'Fashion'.</t>
  </si>
  <si>
    <t>Pivot Table → Show Sum of Amount by Category.</t>
  </si>
  <si>
    <t>Pivot Table → Show Count of Products by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</si>
</sst>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6" formatCode="_ [$₹-439]* #,##0.000_ ;_ [$₹-439]* \-#,##0.000_ ;_ [$₹-439]* &quot;-&quot;???_ ;_ @_ "/>
    <numFmt numFmtId="169" formatCode="_ [$₹-439]* #,##0.0_ ;_ [$₹-439]* \-#,##0.0_ ;_ [$₹-439]* &quot;-&quot;?_ ;_ @_ "/>
    <numFmt numFmtId="170" formatCode="_-[$$-409]* #,##0.00_ ;_-[$$-409]* \-#,##0.00\ ;_-[$$-409]* &quot;-&quot;??_ ;_-@_ "/>
    <numFmt numFmtId="171" formatCode="_ [$₹-439]* #,##0_ ;_ [$₹-439]* \-#,##0_ ;_ [$₹-439]* &quot;-&quot;_ ;_ @_ "/>
    <numFmt numFmtId="173" formatCode="[$-809]dd\ mmmm\ yyyy;@"/>
    <numFmt numFmtId="175" formatCode="0.0"/>
  </numFmts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wrapText="1"/>
    </xf>
    <xf numFmtId="164" fontId="2" fillId="0" borderId="2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6" fontId="2" fillId="0" borderId="3" xfId="0" applyNumberFormat="1" applyFont="1" applyBorder="1"/>
    <xf numFmtId="166" fontId="2" fillId="0" borderId="9" xfId="0" applyNumberFormat="1" applyFont="1" applyBorder="1"/>
    <xf numFmtId="169" fontId="2" fillId="0" borderId="3" xfId="0" applyNumberFormat="1" applyFont="1" applyBorder="1"/>
    <xf numFmtId="0" fontId="2" fillId="0" borderId="5" xfId="0" applyFont="1" applyBorder="1"/>
    <xf numFmtId="0" fontId="3" fillId="2" borderId="5" xfId="0" applyFont="1" applyFill="1" applyBorder="1" applyAlignment="1">
      <alignment horizontal="center" wrapText="1"/>
    </xf>
    <xf numFmtId="169" fontId="2" fillId="0" borderId="5" xfId="0" applyNumberFormat="1" applyFont="1" applyBorder="1"/>
    <xf numFmtId="169" fontId="2" fillId="0" borderId="1" xfId="0" applyNumberFormat="1" applyFont="1" applyBorder="1"/>
    <xf numFmtId="169" fontId="2" fillId="0" borderId="8" xfId="0" applyNumberFormat="1" applyFont="1" applyBorder="1"/>
    <xf numFmtId="0" fontId="2" fillId="0" borderId="0" xfId="0" applyFont="1" applyBorder="1"/>
    <xf numFmtId="170" fontId="0" fillId="0" borderId="0" xfId="0" applyNumberFormat="1"/>
    <xf numFmtId="0" fontId="0" fillId="0" borderId="0" xfId="0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NumberFormat="1" applyFont="1" applyBorder="1"/>
    <xf numFmtId="0" fontId="2" fillId="0" borderId="5" xfId="0" applyNumberFormat="1" applyFont="1" applyBorder="1"/>
    <xf numFmtId="0" fontId="2" fillId="0" borderId="8" xfId="0" applyNumberFormat="1" applyFont="1" applyBorder="1"/>
    <xf numFmtId="0" fontId="2" fillId="0" borderId="0" xfId="0" applyNumberFormat="1" applyFont="1" applyBorder="1"/>
    <xf numFmtId="0" fontId="3" fillId="2" borderId="6" xfId="0" applyFont="1" applyFill="1" applyBorder="1" applyAlignment="1">
      <alignment horizontal="center" wrapText="1"/>
    </xf>
    <xf numFmtId="0" fontId="2" fillId="0" borderId="6" xfId="0" applyNumberFormat="1" applyFont="1" applyBorder="1"/>
    <xf numFmtId="0" fontId="2" fillId="0" borderId="3" xfId="0" applyNumberFormat="1" applyFont="1" applyBorder="1"/>
    <xf numFmtId="0" fontId="2" fillId="3" borderId="2" xfId="0" applyFont="1" applyFill="1" applyBorder="1"/>
    <xf numFmtId="0" fontId="2" fillId="0" borderId="2" xfId="0" applyFont="1" applyBorder="1"/>
    <xf numFmtId="0" fontId="0" fillId="0" borderId="0" xfId="0" applyFill="1"/>
    <xf numFmtId="0" fontId="3" fillId="0" borderId="0" xfId="0" applyFont="1" applyFill="1" applyBorder="1" applyAlignment="1">
      <alignment horizontal="center" wrapText="1"/>
    </xf>
    <xf numFmtId="0" fontId="2" fillId="0" borderId="0" xfId="0" applyNumberFormat="1" applyFont="1" applyFill="1" applyBorder="1"/>
    <xf numFmtId="0" fontId="2" fillId="4" borderId="2" xfId="0" applyFont="1" applyFill="1" applyBorder="1"/>
    <xf numFmtId="14" fontId="0" fillId="0" borderId="0" xfId="0" applyNumberFormat="1"/>
    <xf numFmtId="169" fontId="0" fillId="0" borderId="0" xfId="0" applyNumberFormat="1"/>
    <xf numFmtId="171" fontId="3" fillId="2" borderId="6" xfId="0" applyNumberFormat="1" applyFont="1" applyFill="1" applyBorder="1"/>
    <xf numFmtId="171" fontId="2" fillId="0" borderId="3" xfId="0" applyNumberFormat="1" applyFont="1" applyBorder="1"/>
    <xf numFmtId="171" fontId="2" fillId="0" borderId="9" xfId="0" applyNumberFormat="1" applyFont="1" applyBorder="1"/>
    <xf numFmtId="171" fontId="0" fillId="0" borderId="0" xfId="0" applyNumberFormat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4" fillId="0" borderId="0" xfId="0" applyFont="1" applyAlignment="1">
      <alignment wrapText="1"/>
    </xf>
    <xf numFmtId="173" fontId="2" fillId="0" borderId="1" xfId="0" applyNumberFormat="1" applyFont="1" applyBorder="1"/>
    <xf numFmtId="0" fontId="3" fillId="2" borderId="5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75" fontId="2" fillId="0" borderId="3" xfId="0" applyNumberFormat="1" applyFont="1" applyBorder="1"/>
    <xf numFmtId="175" fontId="2" fillId="0" borderId="9" xfId="0" applyNumberFormat="1" applyFont="1" applyBorder="1"/>
    <xf numFmtId="2" fontId="0" fillId="0" borderId="0" xfId="0" applyNumberFormat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1" fontId="2" fillId="0" borderId="8" xfId="0" applyNumberFormat="1" applyFont="1" applyBorder="1"/>
    <xf numFmtId="0" fontId="0" fillId="2" borderId="0" xfId="0" applyFill="1"/>
    <xf numFmtId="2" fontId="0" fillId="0" borderId="0" xfId="0" applyNumberFormat="1" applyFill="1"/>
    <xf numFmtId="171" fontId="3" fillId="2" borderId="6" xfId="0" applyNumberFormat="1" applyFont="1" applyFill="1" applyBorder="1" applyAlignment="1">
      <alignment horizontal="center"/>
    </xf>
    <xf numFmtId="0" fontId="0" fillId="0" borderId="10" xfId="0" applyBorder="1"/>
  </cellXfs>
  <cellStyles count="1">
    <cellStyle name="Normal" xfId="0" builtinId="0"/>
  </cellStyles>
  <dxfs count="90">
    <dxf>
      <numFmt numFmtId="2" formatCode="0.00"/>
      <fill>
        <patternFill patternType="none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theme="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1" formatCode="_ [$₹-439]* #,##0_ ;_ [$₹-439]* \-#,##0_ ;_ [$₹-439]* &quot;-&quot;_ ;_ 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1" formatCode="_ [$₹-439]* #,##0_ ;_ [$₹-439]* \-#,##0_ ;_ [$₹-439]* &quot;-&quot;_ ;_ @_ 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C7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5" formatCode="0.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9" formatCode="_ [$₹-439]* #,##0.0_ ;_ [$₹-439]* \-#,##0.0_ ;_ [$₹-439]* &quot;-&quot;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1" formatCode="_ [$₹-439]* #,##0_ ;_ [$₹-439]* \-#,##0_ ;_ [$₹-439]* &quot;-&quot;_ ;_ 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1" formatCode="_ [$₹-439]* #,##0_ ;_ [$₹-439]* \-#,##0_ ;_ [$₹-439]* &quot;-&quot;_ ;_ @_ 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 [$₹-439]* #,##0.0_ ;_ [$₹-439]* \-#,##0.0_ ;_ [$₹-439]* &quot;-&quot;?_ ;_ @_ 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 [$₹-439]* #,##0.0_ ;_ [$₹-439]* \-#,##0.0_ ;_ [$₹-439]* &quot;-&quot;?_ ;_ @_ 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 [$₹-439]* #,##0.000_ ;_ [$₹-439]* \-#,##0.000_ ;_ [$₹-439]* &quot;-&quot;???_ ;_ 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_ [$₹-439]* #,##0.000_ ;_ [$₹-439]* \-#,##0.000_ ;_ [$₹-439]* &quot;-&quot;???_ ;_ @_ 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2A9B1-A9FE-4F19-A7E8-D549E8AC2BE1}" name="Table1" displayName="Table1" ref="B3:L103" totalsRowCount="1" headerRowDxfId="88" dataDxfId="87" headerRowBorderDxfId="85" tableBorderDxfId="86" totalsRowBorderDxfId="84">
  <autoFilter ref="B3:L102" xr:uid="{3E62A9B1-A9FE-4F19-A7E8-D549E8AC2BE1}"/>
  <sortState xmlns:xlrd2="http://schemas.microsoft.com/office/spreadsheetml/2017/richdata2" ref="B4:J102">
    <sortCondition ref="D3:D102"/>
  </sortState>
  <tableColumns count="11">
    <tableColumn id="1" xr3:uid="{F653B8E5-CCF9-4E19-ACAB-00BF5ACDDDE0}" name="Date" dataDxfId="82" totalsRowDxfId="83"/>
    <tableColumn id="2" xr3:uid="{FBC6337B-AC37-4567-8481-99BC5D40AC76}" name="Region" dataDxfId="80" totalsRowDxfId="81"/>
    <tableColumn id="3" xr3:uid="{19580BFE-978A-4E6F-8476-C6C28CB0914A}" name="Product" dataDxfId="78" totalsRowDxfId="79"/>
    <tableColumn id="4" xr3:uid="{DA215151-3DD3-40F9-B4A1-9F8982F69442}" name="Quantity" dataDxfId="76" totalsRowDxfId="77"/>
    <tableColumn id="5" xr3:uid="{7D0CEC92-2998-4F5E-890A-A1B636713DC8}" name="Amount" totalsRowFunction="custom" dataDxfId="74" totalsRowDxfId="75">
      <totalsRowFormula>SUM(Table1[Amount])</totalsRowFormula>
    </tableColumn>
    <tableColumn id="7" xr3:uid="{FF4F405C-0A02-4F29-84AB-91EDAB43F674}" name="Discount" dataDxfId="72" totalsRowDxfId="73">
      <calculatedColumnFormula>Table1[[#This Row],[Amount]]*0.1</calculatedColumnFormula>
    </tableColumn>
    <tableColumn id="8" xr3:uid="{D388B541-9DDF-4385-ADB8-2128E1954101}" name="Day" dataDxfId="70" totalsRowDxfId="71">
      <calculatedColumnFormula>TEXT(Table1[[#This Row],[Date]],"DD")</calculatedColumnFormula>
    </tableColumn>
    <tableColumn id="9" xr3:uid="{A3990978-F1A3-4B83-84EB-FEC5730F3843}" name="Month" dataDxfId="68" totalsRowDxfId="69">
      <calculatedColumnFormula>TEXT(Table1[[#This Row],[Date]],"MM")</calculatedColumnFormula>
    </tableColumn>
    <tableColumn id="10" xr3:uid="{2E79FDAD-C959-4532-B871-8253A7F43244}" name="Year" dataDxfId="66" totalsRowDxfId="67">
      <calculatedColumnFormula>TEXT(Table1[[#This Row],[Date]],"YYYY")</calculatedColumnFormula>
    </tableColumn>
    <tableColumn id="11" xr3:uid="{B8D8831A-0C4A-4143-865A-DF8229225A7A}" name="Sales" dataDxfId="64" totalsRowDxfId="65">
      <calculatedColumnFormula>IF(Table1[[#This Row],[Amount]]&gt;40000,"High","low")</calculatedColumnFormula>
    </tableColumn>
    <tableColumn id="12" xr3:uid="{3AAEFD00-DDE0-422B-A528-A5A0E910CE6E}" name="Target" dataDxfId="62" totalsRowDxfId="63">
      <calculatedColumnFormula>IF(AND(Table1[[#This Row],[Region]]="North",Table1[[#This Row],[Amount]]&gt;50000),"achive","Not achive")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C6FFB-ED40-4C7B-8994-5A32B54B8D06}" name="Table2" displayName="Table2" ref="N4:O11" totalsRowShown="0">
  <autoFilter ref="N4:O11" xr:uid="{665C6FFB-ED40-4C7B-8994-5A32B54B8D06}"/>
  <tableColumns count="2">
    <tableColumn id="1" xr3:uid="{567628F4-2995-4A2B-BFE3-6D5C1D638AC6}" name="Column1"/>
    <tableColumn id="2" xr3:uid="{139520AF-4837-4BAD-913D-FA4CF51C17F2}" name="Column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67454F-9208-4B65-80A0-21E2AE477EE7}" name="Table3" displayName="Table3" ref="A1:H102" totalsRowCount="1" headerRowDxfId="60" dataDxfId="59" headerRowBorderDxfId="57" tableBorderDxfId="58" totalsRowBorderDxfId="56">
  <autoFilter ref="A1:H101" xr:uid="{5367454F-9208-4B65-80A0-21E2AE477EE7}"/>
  <sortState xmlns:xlrd2="http://schemas.microsoft.com/office/spreadsheetml/2017/richdata2" ref="A2:F101">
    <sortCondition ref="D2:D101"/>
    <sortCondition ref="E2:E101"/>
  </sortState>
  <tableColumns count="8">
    <tableColumn id="1" xr3:uid="{433F13D7-B011-4185-989C-6C6D6D09AEB6}" name="EmployeeID" dataDxfId="54" totalsRowDxfId="55"/>
    <tableColumn id="2" xr3:uid="{B80F5953-5F83-4B4B-8A39-CFEFE9DADCC9}" name="First Name" dataDxfId="52" totalsRowDxfId="53"/>
    <tableColumn id="8" xr3:uid="{D8991F49-167A-4335-A604-DF84F577B193}" name="Last Name" dataDxfId="50" totalsRowDxfId="51"/>
    <tableColumn id="3" xr3:uid="{54648A56-A834-48AE-8CDE-593015711113}" name="Dept" dataDxfId="48" totalsRowDxfId="49"/>
    <tableColumn id="4" xr3:uid="{F07AF8C5-CDDC-433E-9039-7D8DEDB4B8C4}" name="DOJ" dataDxfId="46" totalsRowDxfId="47"/>
    <tableColumn id="5" xr3:uid="{91F27856-1D17-457D-93C2-C53AC0BFFC57}" name="Salary" totalsRowFunction="custom" dataDxfId="44" totalsRowDxfId="45">
      <totalsRowFormula>SUM(Table3[Salary])</totalsRowFormula>
    </tableColumn>
    <tableColumn id="9" xr3:uid="{97552067-5346-49F1-ACD9-AD4C119181E7}" name="Bonus Eligible" dataDxfId="42" totalsRowDxfId="43">
      <calculatedColumnFormula>IF(F2&gt;75000,"yes","No")</calculatedColumnFormula>
    </tableColumn>
    <tableColumn id="10" xr3:uid="{B7A9B66B-3AB1-4EA0-8D2F-DCB6DE5510C0}" name="Trainer Eligible" dataDxfId="40" totalsRowDxfId="41">
      <calculatedColumnFormula>IF(OR(Table3[[#This Row],[Dept]]="Sales",Table3[[#This Row],[Dept]]="IT"),"Yes","No")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456250-4B2C-40E9-B864-D52B05AC7477}" name="Table5" displayName="Table5" ref="M4:N10" totalsRowShown="0" tableBorderDxfId="39">
  <autoFilter ref="M4:N10" xr:uid="{AE456250-4B2C-40E9-B864-D52B05AC7477}"/>
  <tableColumns count="2">
    <tableColumn id="1" xr3:uid="{890C34E3-D5E7-4EA9-AE40-F00B6DED32D8}" name="Column1" dataDxfId="38"/>
    <tableColumn id="2" xr3:uid="{68B3B9BF-7B97-43E3-AF8C-1646A268A964}" name="Average" dataDxfId="37">
      <calculatedColumnFormula>AVERAGEIF(Table3[Dept],Table5[[#This Row],[Column1]],Table3[Salary])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F9D5D-BFA0-4F66-BFD6-8159F62DA5FF}" name="Table4" displayName="Table4" ref="B2:B102" totalsRowShown="0">
  <autoFilter ref="B2:B102" xr:uid="{926F9D5D-BFA0-4F66-BFD6-8159F62DA5FF}"/>
  <tableColumns count="1">
    <tableColumn id="1" xr3:uid="{863FFDB4-B5E4-43EF-B0C1-ACEEE0CA504F}" name="Dept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C342CE-4BEA-498D-A4BF-590A26AB8B00}" name="Table6" displayName="Table6" ref="A1:E101" totalsRowShown="0" headerRowDxfId="35" headerRowBorderDxfId="33" tableBorderDxfId="34" totalsRowBorderDxfId="32">
  <autoFilter ref="A1:E101" xr:uid="{D6C342CE-4BEA-498D-A4BF-590A26AB8B00}"/>
  <sortState xmlns:xlrd2="http://schemas.microsoft.com/office/spreadsheetml/2017/richdata2" ref="A2:D101">
    <sortCondition ref="A1:A101"/>
  </sortState>
  <tableColumns count="5">
    <tableColumn id="1" xr3:uid="{26B91003-1321-45C8-BBBF-6A2739C09BA1}" name="Name" dataDxfId="31"/>
    <tableColumn id="2" xr3:uid="{B13BED15-792B-4352-AD89-D3CAA8E16E77}" name="Subject" dataDxfId="30"/>
    <tableColumn id="3" xr3:uid="{F85E7734-B967-41E9-84ED-AEADEA52C9F9}" name="Marks" dataDxfId="29"/>
    <tableColumn id="4" xr3:uid="{C17D3B91-9CEA-42AD-BD82-6B22B2B604F9}" name="Grade" dataDxfId="28">
      <calculatedColumnFormula>IF(Table6[[#This Row],[Marks]]&gt;70,"Distinction",IF(Table6[[#This Row],[Marks]]&gt;60,"First",IF(Table6[[#This Row],[Marks]]&gt;35,"Pass","Fail")))</calculatedColumnFormula>
    </tableColumn>
    <tableColumn id="5" xr3:uid="{3E47B6BF-7BB9-4FAB-A640-D770414D5833}" name="Result" dataDxfId="27">
      <calculatedColumnFormula>IF(Table6[[#This Row],[Marks]]&gt;=35,"Pass","Fail")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B3A495-4E58-414A-A0DE-79FC9953F8FA}" name="Table7" displayName="Table7" ref="K1:M37" totalsRowShown="0">
  <autoFilter ref="K1:M37" xr:uid="{E1B3A495-4E58-414A-A0DE-79FC9953F8FA}"/>
  <tableColumns count="3">
    <tableColumn id="1" xr3:uid="{93BE6F98-7B2F-40C8-BF6F-4BA9C39DA534}" name="Name"/>
    <tableColumn id="2" xr3:uid="{FA9ED66F-AD27-444D-8C78-2578CDD1190A}" name="Sum">
      <calculatedColumnFormula>SUMIF(Table6[Name],K2,Table6[Marks])</calculatedColumnFormula>
    </tableColumn>
    <tableColumn id="3" xr3:uid="{22A41980-2C9E-47B3-B75B-9C528D8C1BD6}" name="average" dataDxfId="26">
      <calculatedColumnFormula>AVERAGEIF(Table6[Name],K2,Table6[Marks])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5378AA-3062-4823-8812-8693BEC3EEEA}" name="Table8" displayName="Table8" ref="A1:H102" totalsRowCount="1" headerRowDxfId="24" dataDxfId="23" headerRowBorderDxfId="21" tableBorderDxfId="22" totalsRowBorderDxfId="20">
  <autoFilter ref="A1:H101" xr:uid="{B65378AA-3062-4823-8812-8693BEC3EEEA}"/>
  <sortState xmlns:xlrd2="http://schemas.microsoft.com/office/spreadsheetml/2017/richdata2" ref="A2:F101">
    <sortCondition ref="A1:A101"/>
  </sortState>
  <tableColumns count="8">
    <tableColumn id="1" xr3:uid="{25698EC3-B4BF-4A0B-ADEB-5C1B0D81B215}" name="ProductCode" dataDxfId="18" totalsRowDxfId="19"/>
    <tableColumn id="2" xr3:uid="{1E6082A9-EE04-4248-870F-49B77EB628F1}" name="Product" dataDxfId="16" totalsRowDxfId="17"/>
    <tableColumn id="3" xr3:uid="{0B7314F4-9066-4747-9BE1-11A11EFE379B}" name="Category" dataDxfId="14" totalsRowDxfId="15"/>
    <tableColumn id="4" xr3:uid="{FBBF367B-7698-48C4-9629-E56FE66408E9}" name="Quantity" totalsRowFunction="custom" dataDxfId="12" totalsRowDxfId="13">
      <totalsRowFormula>SUM(Table8[Quantity])</totalsRowFormula>
    </tableColumn>
    <tableColumn id="5" xr3:uid="{59A99EB2-91B4-4CAA-88DC-E4A348026D80}" name="Amount" dataDxfId="10" totalsRowDxfId="11"/>
    <tableColumn id="6" xr3:uid="{C9C8F9B9-D061-4DCA-BBD4-89FD3E1A63B5}" name="Low" dataDxfId="8" totalsRowDxfId="9">
      <calculatedColumnFormula>IF(E2&gt;=20000,"High","Low")</calculatedColumnFormula>
    </tableColumn>
    <tableColumn id="7" xr3:uid="{AC4EC39D-7D7F-49C0-999D-D264716E9987}" name="Seller" dataDxfId="6" totalsRowDxfId="7">
      <calculatedColumnFormula>IF(AND(C2="Electronics",D2&gt;100),"Best"," ")</calculatedColumnFormula>
    </tableColumn>
    <tableColumn id="8" xr3:uid="{2ADF07C6-8F06-4736-8299-30D03F9D4F0C}" name="Category " dataDxfId="4" totalsRowDxfId="5">
      <calculatedColumnFormula>IF(OR(C2="Shoes",C2="Clothing"),"Fashion"," ")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B84862-EA7F-414A-9F59-79D992536250}" name="Table9" displayName="Table9" ref="L2:M12" totalsRowShown="0" headerRowDxfId="3" dataDxfId="2">
  <autoFilter ref="L2:M12" xr:uid="{BFB84862-EA7F-414A-9F59-79D992536250}"/>
  <tableColumns count="2">
    <tableColumn id="1" xr3:uid="{DCE086B0-9025-4B7A-A55E-B2B76DBB521E}" name="Column1" dataDxfId="1"/>
    <tableColumn id="2" xr3:uid="{F9E75037-DE82-472A-8D04-D08679D760C3}" name="Average" dataDxfId="0">
      <calculatedColumnFormula>AVERAGEIF(Table8[Product],L3,Table8[Quantity])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003"/>
  <sheetViews>
    <sheetView topLeftCell="A37" workbookViewId="0">
      <selection activeCell="O8" sqref="O8"/>
    </sheetView>
  </sheetViews>
  <sheetFormatPr defaultColWidth="14.42578125" defaultRowHeight="15" customHeight="1"/>
  <cols>
    <col min="1" max="1" width="4.140625" customWidth="1"/>
    <col min="2" max="2" width="10.85546875" bestFit="1" customWidth="1"/>
    <col min="3" max="3" width="9.28515625" customWidth="1"/>
    <col min="4" max="4" width="11.85546875" customWidth="1"/>
    <col min="5" max="5" width="11" customWidth="1"/>
    <col min="6" max="6" width="15.42578125" bestFit="1" customWidth="1"/>
    <col min="7" max="7" width="11" bestFit="1" customWidth="1"/>
    <col min="8" max="11" width="8.7109375" customWidth="1"/>
    <col min="12" max="12" width="10.140625" bestFit="1" customWidth="1"/>
    <col min="13" max="13" width="10.140625" customWidth="1"/>
    <col min="14" max="14" width="19" customWidth="1"/>
    <col min="15" max="15" width="14.42578125" customWidth="1"/>
    <col min="16" max="32" width="8.7109375" customWidth="1"/>
  </cols>
  <sheetData>
    <row r="2" spans="2:15" ht="15" customHeight="1">
      <c r="M2" s="33"/>
    </row>
    <row r="3" spans="2:15" ht="14.25" customHeight="1">
      <c r="B3" s="9" t="s">
        <v>0</v>
      </c>
      <c r="C3" s="10" t="s">
        <v>1</v>
      </c>
      <c r="D3" s="10" t="s">
        <v>2</v>
      </c>
      <c r="E3" s="10" t="s">
        <v>3</v>
      </c>
      <c r="F3" s="11" t="s">
        <v>4</v>
      </c>
      <c r="G3" s="16" t="s">
        <v>5</v>
      </c>
      <c r="H3" s="10" t="s">
        <v>6</v>
      </c>
      <c r="I3" s="16" t="s">
        <v>7</v>
      </c>
      <c r="J3" s="10" t="s">
        <v>8</v>
      </c>
      <c r="K3" s="10" t="s">
        <v>9</v>
      </c>
      <c r="L3" s="28" t="s">
        <v>10</v>
      </c>
      <c r="M3" s="34"/>
    </row>
    <row r="4" spans="2:15" ht="14.25" customHeight="1">
      <c r="B4" s="4">
        <v>45362</v>
      </c>
      <c r="C4" s="2" t="s">
        <v>11</v>
      </c>
      <c r="D4" s="2" t="s">
        <v>12</v>
      </c>
      <c r="E4" s="2">
        <v>163</v>
      </c>
      <c r="F4" s="12">
        <v>71316</v>
      </c>
      <c r="G4" s="17">
        <f>Table1[[#This Row],[Amount]]*0.1</f>
        <v>7131.6</v>
      </c>
      <c r="H4" s="23" t="str">
        <f>TEXT(Table1[[#This Row],[Date]],"DD")</f>
        <v>11</v>
      </c>
      <c r="I4" s="15" t="str">
        <f>TEXT(Table1[[#This Row],[Date]],"MM")</f>
        <v>03</v>
      </c>
      <c r="J4" s="15" t="str">
        <f>TEXT(Table1[[#This Row],[Date]],"YYYY")</f>
        <v>2024</v>
      </c>
      <c r="K4" s="25" t="str">
        <f>IF(Table1[[#This Row],[Amount]]&gt;40000,"High","low")</f>
        <v>High</v>
      </c>
      <c r="L4" s="29" t="str">
        <f>IF(AND(Table1[[#This Row],[Region]]="North",Table1[[#This Row],[Amount]]&gt;50000),"achive","Not achive")</f>
        <v>achive</v>
      </c>
      <c r="M4" s="35"/>
      <c r="N4" s="31" t="s">
        <v>13</v>
      </c>
      <c r="O4" s="21" t="s">
        <v>14</v>
      </c>
    </row>
    <row r="5" spans="2:15" ht="14.25" customHeight="1">
      <c r="B5" s="4">
        <v>45418</v>
      </c>
      <c r="C5" s="2" t="s">
        <v>15</v>
      </c>
      <c r="D5" s="2" t="s">
        <v>12</v>
      </c>
      <c r="E5" s="2"/>
      <c r="F5" s="12">
        <v>51300</v>
      </c>
      <c r="G5" s="18">
        <f>Table1[[#This Row],[Amount]]*0.1</f>
        <v>5130</v>
      </c>
      <c r="H5" s="2" t="str">
        <f>TEXT(Table1[[#This Row],[Date]],"DD")</f>
        <v>06</v>
      </c>
      <c r="I5" s="2" t="str">
        <f>TEXT(Table1[[#This Row],[Date]],"MM")</f>
        <v>05</v>
      </c>
      <c r="J5" s="2" t="str">
        <f>TEXT(Table1[[#This Row],[Date]],"YYYY")</f>
        <v>2024</v>
      </c>
      <c r="K5" s="24" t="str">
        <f>IF(Table1[[#This Row],[Amount]]&gt;40000,"High","low")</f>
        <v>High</v>
      </c>
      <c r="L5" s="30" t="str">
        <f>IF(AND(Table1[[#This Row],[Region]]="North",Table1[[#This Row],[Amount]]&gt;50000),"achive","Not achive")</f>
        <v>Not achive</v>
      </c>
      <c r="M5" s="35"/>
      <c r="N5" s="31" t="s">
        <v>11</v>
      </c>
      <c r="O5" s="21">
        <f>AVERAGEIF(Table1[Region],N5,Table1[Amount])</f>
        <v>60214.32</v>
      </c>
    </row>
    <row r="6" spans="2:15" ht="14.25" customHeight="1">
      <c r="B6" s="4">
        <v>44948</v>
      </c>
      <c r="C6" s="2" t="s">
        <v>11</v>
      </c>
      <c r="D6" s="2" t="s">
        <v>12</v>
      </c>
      <c r="E6" s="2">
        <v>109</v>
      </c>
      <c r="F6" s="12">
        <v>96285</v>
      </c>
      <c r="G6" s="18">
        <f>Table1[[#This Row],[Amount]]*0.1</f>
        <v>9628.5</v>
      </c>
      <c r="H6" s="2" t="str">
        <f>TEXT(Table1[[#This Row],[Date]],"DD")</f>
        <v>22</v>
      </c>
      <c r="I6" s="2" t="str">
        <f>TEXT(Table1[[#This Row],[Date]],"MM")</f>
        <v>01</v>
      </c>
      <c r="J6" s="2" t="str">
        <f>TEXT(Table1[[#This Row],[Date]],"YYYY")</f>
        <v>2023</v>
      </c>
      <c r="K6" s="24" t="str">
        <f>IF(Table1[[#This Row],[Amount]]&gt;40000,"High","low")</f>
        <v>High</v>
      </c>
      <c r="L6" s="30" t="str">
        <f>IF(AND(Table1[[#This Row],[Region]]="North",Table1[[#This Row],[Amount]]&gt;50000),"achive","Not achive")</f>
        <v>achive</v>
      </c>
      <c r="M6" s="35"/>
      <c r="N6" s="32" t="s">
        <v>16</v>
      </c>
      <c r="O6" s="21">
        <f>AVERAGEIF(Table1[Region],N6,Table1[Amount])</f>
        <v>48239.82608695652</v>
      </c>
    </row>
    <row r="7" spans="2:15" ht="14.25" customHeight="1">
      <c r="B7" s="4">
        <v>45437</v>
      </c>
      <c r="C7" s="2" t="s">
        <v>15</v>
      </c>
      <c r="D7" s="2" t="s">
        <v>12</v>
      </c>
      <c r="E7" s="2">
        <v>27</v>
      </c>
      <c r="F7" s="12">
        <v>20508</v>
      </c>
      <c r="G7" s="18">
        <f>Table1[[#This Row],[Amount]]*0.1</f>
        <v>2050.8000000000002</v>
      </c>
      <c r="H7" s="2" t="str">
        <f>TEXT(Table1[[#This Row],[Date]],"DD")</f>
        <v>25</v>
      </c>
      <c r="I7" s="2" t="str">
        <f>TEXT(Table1[[#This Row],[Date]],"MM")</f>
        <v>05</v>
      </c>
      <c r="J7" s="2" t="str">
        <f>TEXT(Table1[[#This Row],[Date]],"YYYY")</f>
        <v>2024</v>
      </c>
      <c r="K7" s="24" t="str">
        <f>IF(Table1[[#This Row],[Amount]]&gt;40000,"High","low")</f>
        <v>low</v>
      </c>
      <c r="L7" s="30" t="str">
        <f>IF(AND(Table1[[#This Row],[Region]]="North",Table1[[#This Row],[Amount]]&gt;50000),"achive","Not achive")</f>
        <v>Not achive</v>
      </c>
      <c r="M7" s="35"/>
      <c r="N7" s="32" t="s">
        <v>17</v>
      </c>
      <c r="O7" s="21">
        <f>AVERAGEIF(Table1[Region],N7,Table1[Amount])</f>
        <v>52488.05</v>
      </c>
    </row>
    <row r="8" spans="2:15" ht="14.25" customHeight="1">
      <c r="B8" s="4">
        <v>45057</v>
      </c>
      <c r="C8" s="2" t="s">
        <v>16</v>
      </c>
      <c r="D8" s="2" t="s">
        <v>12</v>
      </c>
      <c r="E8" s="2">
        <v>111</v>
      </c>
      <c r="F8" s="12">
        <v>59335</v>
      </c>
      <c r="G8" s="18">
        <f>Table1[[#This Row],[Amount]]*0.1</f>
        <v>5933.5</v>
      </c>
      <c r="H8" s="2" t="str">
        <f>TEXT(Table1[[#This Row],[Date]],"DD")</f>
        <v>11</v>
      </c>
      <c r="I8" s="2" t="str">
        <f>TEXT(Table1[[#This Row],[Date]],"MM")</f>
        <v>05</v>
      </c>
      <c r="J8" s="2" t="str">
        <f>TEXT(Table1[[#This Row],[Date]],"YYYY")</f>
        <v>2023</v>
      </c>
      <c r="K8" s="24" t="str">
        <f>IF(Table1[[#This Row],[Amount]]&gt;40000,"High","low")</f>
        <v>High</v>
      </c>
      <c r="L8" s="24" t="str">
        <f>IF(AND(Table1[[#This Row],[Region]]="North",Table1[[#This Row],[Amount]]&gt;50000),"achive","Not achive")</f>
        <v>Not achive</v>
      </c>
      <c r="M8" s="27"/>
      <c r="N8" s="36" t="s">
        <v>15</v>
      </c>
      <c r="O8" s="21">
        <f>AVERAGEIF(Table1[Region],N8,Table1[Amount])</f>
        <v>58150.967741935485</v>
      </c>
    </row>
    <row r="9" spans="2:15" ht="14.25" customHeight="1">
      <c r="B9" s="4">
        <v>45168</v>
      </c>
      <c r="C9" s="2" t="s">
        <v>11</v>
      </c>
      <c r="D9" s="2" t="s">
        <v>12</v>
      </c>
      <c r="E9" s="2">
        <v>17</v>
      </c>
      <c r="F9" s="12">
        <v>95476</v>
      </c>
      <c r="G9" s="18">
        <f>Table1[[#This Row],[Amount]]*0.1</f>
        <v>9547.6</v>
      </c>
      <c r="H9" s="2" t="str">
        <f>TEXT(Table1[[#This Row],[Date]],"DD")</f>
        <v>30</v>
      </c>
      <c r="I9" s="2" t="str">
        <f>TEXT(Table1[[#This Row],[Date]],"MM")</f>
        <v>08</v>
      </c>
      <c r="J9" s="2" t="str">
        <f>TEXT(Table1[[#This Row],[Date]],"YYYY")</f>
        <v>2023</v>
      </c>
      <c r="K9" s="24" t="str">
        <f>IF(Table1[[#This Row],[Amount]]&gt;40000,"High","low")</f>
        <v>High</v>
      </c>
      <c r="L9" s="24" t="str">
        <f>IF(AND(Table1[[#This Row],[Region]]="North",Table1[[#This Row],[Amount]]&gt;50000),"achive","Not achive")</f>
        <v>achive</v>
      </c>
      <c r="M9" s="27"/>
      <c r="N9" t="s">
        <v>18</v>
      </c>
      <c r="O9">
        <f>MAX(Table1[Amount])</f>
        <v>97825</v>
      </c>
    </row>
    <row r="10" spans="2:15" ht="14.25" customHeight="1">
      <c r="B10" s="4">
        <v>45114</v>
      </c>
      <c r="C10" s="2" t="s">
        <v>17</v>
      </c>
      <c r="D10" s="2" t="s">
        <v>12</v>
      </c>
      <c r="E10" s="2">
        <v>33</v>
      </c>
      <c r="F10" s="12">
        <v>17964</v>
      </c>
      <c r="G10" s="18">
        <f>Table1[[#This Row],[Amount]]*0.1</f>
        <v>1796.4</v>
      </c>
      <c r="H10" s="2" t="str">
        <f>TEXT(Table1[[#This Row],[Date]],"DD")</f>
        <v>07</v>
      </c>
      <c r="I10" s="2" t="str">
        <f>TEXT(Table1[[#This Row],[Date]],"MM")</f>
        <v>07</v>
      </c>
      <c r="J10" s="2" t="str">
        <f>TEXT(Table1[[#This Row],[Date]],"YYYY")</f>
        <v>2023</v>
      </c>
      <c r="K10" s="24" t="str">
        <f>IF(Table1[[#This Row],[Amount]]&gt;40000,"High","low")</f>
        <v>low</v>
      </c>
      <c r="L10" s="24" t="str">
        <f>IF(AND(Table1[[#This Row],[Region]]="North",Table1[[#This Row],[Amount]]&gt;50000),"achive","Not achive")</f>
        <v>Not achive</v>
      </c>
      <c r="M10" s="27"/>
      <c r="N10" t="s">
        <v>19</v>
      </c>
      <c r="O10">
        <f>MIN(Table1[Amount])</f>
        <v>2150</v>
      </c>
    </row>
    <row r="11" spans="2:15" ht="14.25" customHeight="1">
      <c r="B11" s="4">
        <v>45306</v>
      </c>
      <c r="C11" s="2" t="s">
        <v>15</v>
      </c>
      <c r="D11" s="2" t="s">
        <v>12</v>
      </c>
      <c r="E11" s="2">
        <v>86</v>
      </c>
      <c r="F11" s="12">
        <v>60638</v>
      </c>
      <c r="G11" s="18">
        <f>Table1[[#This Row],[Amount]]*0.1</f>
        <v>6063.8</v>
      </c>
      <c r="H11" s="2" t="str">
        <f>TEXT(Table1[[#This Row],[Date]],"DD")</f>
        <v>15</v>
      </c>
      <c r="I11" s="2" t="str">
        <f>TEXT(Table1[[#This Row],[Date]],"MM")</f>
        <v>01</v>
      </c>
      <c r="J11" s="2" t="str">
        <f>TEXT(Table1[[#This Row],[Date]],"YYYY")</f>
        <v>2024</v>
      </c>
      <c r="K11" s="24" t="str">
        <f>IF(Table1[[#This Row],[Amount]]&gt;40000,"High","low")</f>
        <v>High</v>
      </c>
      <c r="L11" s="24" t="str">
        <f>IF(AND(Table1[[#This Row],[Region]]="North",Table1[[#This Row],[Amount]]&gt;50000),"achive","Not achive")</f>
        <v>Not achive</v>
      </c>
      <c r="M11" s="27"/>
      <c r="N11" s="22" t="s">
        <v>20</v>
      </c>
      <c r="O11" s="22">
        <f>COUNTIF(Table1[Amount],"&gt;30000")</f>
        <v>75</v>
      </c>
    </row>
    <row r="12" spans="2:15" ht="14.25" customHeight="1">
      <c r="B12" s="4">
        <v>45416</v>
      </c>
      <c r="C12" s="2" t="s">
        <v>15</v>
      </c>
      <c r="D12" s="2" t="s">
        <v>12</v>
      </c>
      <c r="E12" s="2">
        <v>152</v>
      </c>
      <c r="F12" s="12">
        <v>30124</v>
      </c>
      <c r="G12" s="18">
        <f>Table1[[#This Row],[Amount]]*0.1</f>
        <v>3012.4</v>
      </c>
      <c r="H12" s="2" t="str">
        <f>TEXT(Table1[[#This Row],[Date]],"DD")</f>
        <v>04</v>
      </c>
      <c r="I12" s="2" t="str">
        <f>TEXT(Table1[[#This Row],[Date]],"MM")</f>
        <v>05</v>
      </c>
      <c r="J12" s="2" t="str">
        <f>TEXT(Table1[[#This Row],[Date]],"YYYY")</f>
        <v>2024</v>
      </c>
      <c r="K12" s="24" t="str">
        <f>IF(Table1[[#This Row],[Amount]]&gt;40000,"High","low")</f>
        <v>low</v>
      </c>
      <c r="L12" s="24" t="str">
        <f>IF(AND(Table1[[#This Row],[Region]]="North",Table1[[#This Row],[Amount]]&gt;50000),"achive","Not achive")</f>
        <v>Not achive</v>
      </c>
      <c r="M12" s="27"/>
    </row>
    <row r="13" spans="2:15" ht="14.25" customHeight="1">
      <c r="B13" s="4">
        <v>44998</v>
      </c>
      <c r="C13" s="2" t="s">
        <v>17</v>
      </c>
      <c r="D13" s="2" t="s">
        <v>21</v>
      </c>
      <c r="E13" s="2">
        <v>161</v>
      </c>
      <c r="F13" s="12">
        <v>7655</v>
      </c>
      <c r="G13" s="18">
        <f>Table1[[#This Row],[Amount]]*0.1</f>
        <v>765.5</v>
      </c>
      <c r="H13" s="2" t="str">
        <f>TEXT(Table1[[#This Row],[Date]],"DD")</f>
        <v>13</v>
      </c>
      <c r="I13" s="2" t="str">
        <f>TEXT(Table1[[#This Row],[Date]],"MM")</f>
        <v>03</v>
      </c>
      <c r="J13" s="2" t="str">
        <f>TEXT(Table1[[#This Row],[Date]],"YYYY")</f>
        <v>2023</v>
      </c>
      <c r="K13" s="24" t="str">
        <f>IF(Table1[[#This Row],[Amount]]&gt;40000,"High","low")</f>
        <v>low</v>
      </c>
      <c r="L13" s="24" t="str">
        <f>IF(AND(Table1[[#This Row],[Region]]="North",Table1[[#This Row],[Amount]]&gt;50000),"achive","Not achive")</f>
        <v>Not achive</v>
      </c>
      <c r="M13" s="27"/>
    </row>
    <row r="14" spans="2:15" ht="14.25" customHeight="1">
      <c r="B14" s="4">
        <v>45014</v>
      </c>
      <c r="C14" s="2" t="s">
        <v>11</v>
      </c>
      <c r="D14" s="2" t="s">
        <v>21</v>
      </c>
      <c r="E14" s="2">
        <v>128</v>
      </c>
      <c r="F14" s="12">
        <v>33097</v>
      </c>
      <c r="G14" s="18">
        <f>Table1[[#This Row],[Amount]]*0.1</f>
        <v>3309.7000000000003</v>
      </c>
      <c r="H14" s="2" t="str">
        <f>TEXT(Table1[[#This Row],[Date]],"DD")</f>
        <v>29</v>
      </c>
      <c r="I14" s="2" t="str">
        <f>TEXT(Table1[[#This Row],[Date]],"MM")</f>
        <v>03</v>
      </c>
      <c r="J14" s="2" t="str">
        <f>TEXT(Table1[[#This Row],[Date]],"YYYY")</f>
        <v>2023</v>
      </c>
      <c r="K14" s="24" t="str">
        <f>IF(Table1[[#This Row],[Amount]]&gt;40000,"High","low")</f>
        <v>low</v>
      </c>
      <c r="L14" s="24" t="str">
        <f>IF(AND(Table1[[#This Row],[Region]]="North",Table1[[#This Row],[Amount]]&gt;50000),"achive","Not achive")</f>
        <v>Not achive</v>
      </c>
      <c r="M14" s="27"/>
    </row>
    <row r="15" spans="2:15" ht="14.25" customHeight="1">
      <c r="B15" s="4">
        <v>45057</v>
      </c>
      <c r="C15" s="2" t="s">
        <v>16</v>
      </c>
      <c r="D15" s="2" t="s">
        <v>21</v>
      </c>
      <c r="E15" s="2">
        <v>195</v>
      </c>
      <c r="F15" s="12">
        <v>94848</v>
      </c>
      <c r="G15" s="18">
        <f>Table1[[#This Row],[Amount]]*0.1</f>
        <v>9484.8000000000011</v>
      </c>
      <c r="H15" s="2" t="str">
        <f>TEXT(Table1[[#This Row],[Date]],"DD")</f>
        <v>11</v>
      </c>
      <c r="I15" s="2" t="str">
        <f>TEXT(Table1[[#This Row],[Date]],"MM")</f>
        <v>05</v>
      </c>
      <c r="J15" s="2" t="str">
        <f>TEXT(Table1[[#This Row],[Date]],"YYYY")</f>
        <v>2023</v>
      </c>
      <c r="K15" s="24" t="str">
        <f>IF(Table1[[#This Row],[Amount]]&gt;40000,"High","low")</f>
        <v>High</v>
      </c>
      <c r="L15" s="24" t="str">
        <f>IF(AND(Table1[[#This Row],[Region]]="North",Table1[[#This Row],[Amount]]&gt;50000),"achive","Not achive")</f>
        <v>Not achive</v>
      </c>
      <c r="M15" s="27"/>
    </row>
    <row r="16" spans="2:15" ht="14.25" customHeight="1">
      <c r="B16" s="4">
        <v>45087</v>
      </c>
      <c r="C16" s="2" t="s">
        <v>17</v>
      </c>
      <c r="D16" s="2" t="s">
        <v>21</v>
      </c>
      <c r="E16" s="2">
        <v>22</v>
      </c>
      <c r="F16" s="12">
        <v>32024</v>
      </c>
      <c r="G16" s="18">
        <f>Table1[[#This Row],[Amount]]*0.1</f>
        <v>3202.4</v>
      </c>
      <c r="H16" s="2" t="str">
        <f>TEXT(Table1[[#This Row],[Date]],"DD")</f>
        <v>10</v>
      </c>
      <c r="I16" s="2" t="str">
        <f>TEXT(Table1[[#This Row],[Date]],"MM")</f>
        <v>06</v>
      </c>
      <c r="J16" s="2" t="str">
        <f>TEXT(Table1[[#This Row],[Date]],"YYYY")</f>
        <v>2023</v>
      </c>
      <c r="K16" s="24" t="str">
        <f>IF(Table1[[#This Row],[Amount]]&gt;40000,"High","low")</f>
        <v>low</v>
      </c>
      <c r="L16" s="24" t="str">
        <f>IF(AND(Table1[[#This Row],[Region]]="North",Table1[[#This Row],[Amount]]&gt;50000),"achive","Not achive")</f>
        <v>Not achive</v>
      </c>
      <c r="M16" s="27"/>
    </row>
    <row r="17" spans="2:13" ht="14.25" customHeight="1">
      <c r="B17" s="4">
        <v>45386</v>
      </c>
      <c r="C17" s="2" t="s">
        <v>15</v>
      </c>
      <c r="D17" s="2" t="s">
        <v>21</v>
      </c>
      <c r="E17" s="2">
        <v>158</v>
      </c>
      <c r="F17" s="12">
        <v>71313</v>
      </c>
      <c r="G17" s="18">
        <f>Table1[[#This Row],[Amount]]*0.1</f>
        <v>7131.3</v>
      </c>
      <c r="H17" s="2" t="str">
        <f>TEXT(Table1[[#This Row],[Date]],"DD")</f>
        <v>04</v>
      </c>
      <c r="I17" s="2" t="str">
        <f>TEXT(Table1[[#This Row],[Date]],"MM")</f>
        <v>04</v>
      </c>
      <c r="J17" s="2" t="str">
        <f>TEXT(Table1[[#This Row],[Date]],"YYYY")</f>
        <v>2024</v>
      </c>
      <c r="K17" s="24" t="str">
        <f>IF(Table1[[#This Row],[Amount]]&gt;40000,"High","low")</f>
        <v>High</v>
      </c>
      <c r="L17" s="24" t="str">
        <f>IF(AND(Table1[[#This Row],[Region]]="North",Table1[[#This Row],[Amount]]&gt;50000),"achive","Not achive")</f>
        <v>Not achive</v>
      </c>
      <c r="M17" s="27"/>
    </row>
    <row r="18" spans="2:13" ht="14.25" customHeight="1">
      <c r="B18" s="4">
        <v>44985</v>
      </c>
      <c r="C18" s="2" t="s">
        <v>17</v>
      </c>
      <c r="D18" s="2" t="s">
        <v>21</v>
      </c>
      <c r="E18" s="2">
        <v>27</v>
      </c>
      <c r="F18" s="12">
        <v>81135</v>
      </c>
      <c r="G18" s="18">
        <f>Table1[[#This Row],[Amount]]*0.1</f>
        <v>8113.5</v>
      </c>
      <c r="H18" s="2" t="str">
        <f>TEXT(Table1[[#This Row],[Date]],"DD")</f>
        <v>28</v>
      </c>
      <c r="I18" s="2" t="str">
        <f>TEXT(Table1[[#This Row],[Date]],"MM")</f>
        <v>02</v>
      </c>
      <c r="J18" s="2" t="str">
        <f>TEXT(Table1[[#This Row],[Date]],"YYYY")</f>
        <v>2023</v>
      </c>
      <c r="K18" s="24" t="str">
        <f>IF(Table1[[#This Row],[Amount]]&gt;40000,"High","low")</f>
        <v>High</v>
      </c>
      <c r="L18" s="24" t="str">
        <f>IF(AND(Table1[[#This Row],[Region]]="North",Table1[[#This Row],[Amount]]&gt;50000),"achive","Not achive")</f>
        <v>Not achive</v>
      </c>
      <c r="M18" s="27"/>
    </row>
    <row r="19" spans="2:13" ht="14.25" customHeight="1">
      <c r="B19" s="4">
        <v>45116</v>
      </c>
      <c r="C19" s="2" t="s">
        <v>11</v>
      </c>
      <c r="D19" s="2" t="s">
        <v>21</v>
      </c>
      <c r="E19" s="2">
        <v>30</v>
      </c>
      <c r="F19" s="12">
        <v>49747</v>
      </c>
      <c r="G19" s="18">
        <f>Table1[[#This Row],[Amount]]*0.1</f>
        <v>4974.7000000000007</v>
      </c>
      <c r="H19" s="2" t="str">
        <f>TEXT(Table1[[#This Row],[Date]],"DD")</f>
        <v>09</v>
      </c>
      <c r="I19" s="2" t="str">
        <f>TEXT(Table1[[#This Row],[Date]],"MM")</f>
        <v>07</v>
      </c>
      <c r="J19" s="2" t="str">
        <f>TEXT(Table1[[#This Row],[Date]],"YYYY")</f>
        <v>2023</v>
      </c>
      <c r="K19" s="24" t="str">
        <f>IF(Table1[[#This Row],[Amount]]&gt;40000,"High","low")</f>
        <v>High</v>
      </c>
      <c r="L19" s="24" t="str">
        <f>IF(AND(Table1[[#This Row],[Region]]="North",Table1[[#This Row],[Amount]]&gt;50000),"achive","Not achive")</f>
        <v>Not achive</v>
      </c>
      <c r="M19" s="27"/>
    </row>
    <row r="20" spans="2:13" ht="14.25" customHeight="1">
      <c r="B20" s="4">
        <v>44947</v>
      </c>
      <c r="C20" s="2" t="s">
        <v>15</v>
      </c>
      <c r="D20" s="2" t="s">
        <v>21</v>
      </c>
      <c r="E20" s="2">
        <v>48</v>
      </c>
      <c r="F20" s="12">
        <v>33093</v>
      </c>
      <c r="G20" s="18">
        <f>Table1[[#This Row],[Amount]]*0.1</f>
        <v>3309.3</v>
      </c>
      <c r="H20" s="2" t="str">
        <f>TEXT(Table1[[#This Row],[Date]],"DD")</f>
        <v>21</v>
      </c>
      <c r="I20" s="2" t="str">
        <f>TEXT(Table1[[#This Row],[Date]],"MM")</f>
        <v>01</v>
      </c>
      <c r="J20" s="2" t="str">
        <f>TEXT(Table1[[#This Row],[Date]],"YYYY")</f>
        <v>2023</v>
      </c>
      <c r="K20" s="24" t="str">
        <f>IF(Table1[[#This Row],[Amount]]&gt;40000,"High","low")</f>
        <v>low</v>
      </c>
      <c r="L20" s="24" t="str">
        <f>IF(AND(Table1[[#This Row],[Region]]="North",Table1[[#This Row],[Amount]]&gt;50000),"achive","Not achive")</f>
        <v>Not achive</v>
      </c>
      <c r="M20" s="27"/>
    </row>
    <row r="21" spans="2:13" ht="14.25" customHeight="1">
      <c r="B21" s="4">
        <v>45354</v>
      </c>
      <c r="C21" s="2" t="s">
        <v>11</v>
      </c>
      <c r="D21" s="2" t="s">
        <v>21</v>
      </c>
      <c r="E21" s="2">
        <v>124</v>
      </c>
      <c r="F21" s="12">
        <v>80634</v>
      </c>
      <c r="G21" s="18">
        <f>Table1[[#This Row],[Amount]]*0.1</f>
        <v>8063.4000000000005</v>
      </c>
      <c r="H21" s="2" t="str">
        <f>TEXT(Table1[[#This Row],[Date]],"DD")</f>
        <v>03</v>
      </c>
      <c r="I21" s="2" t="str">
        <f>TEXT(Table1[[#This Row],[Date]],"MM")</f>
        <v>03</v>
      </c>
      <c r="J21" s="2" t="str">
        <f>TEXT(Table1[[#This Row],[Date]],"YYYY")</f>
        <v>2024</v>
      </c>
      <c r="K21" s="24" t="str">
        <f>IF(Table1[[#This Row],[Amount]]&gt;40000,"High","low")</f>
        <v>High</v>
      </c>
      <c r="L21" s="24" t="str">
        <f>IF(AND(Table1[[#This Row],[Region]]="North",Table1[[#This Row],[Amount]]&gt;50000),"achive","Not achive")</f>
        <v>achive</v>
      </c>
      <c r="M21" s="27"/>
    </row>
    <row r="22" spans="2:13" ht="14.25" customHeight="1">
      <c r="B22" s="4">
        <v>44928</v>
      </c>
      <c r="C22" s="2" t="s">
        <v>15</v>
      </c>
      <c r="D22" s="2" t="s">
        <v>21</v>
      </c>
      <c r="E22" s="2">
        <v>99</v>
      </c>
      <c r="F22" s="12">
        <v>52990</v>
      </c>
      <c r="G22" s="18">
        <f>Table1[[#This Row],[Amount]]*0.1</f>
        <v>5299</v>
      </c>
      <c r="H22" s="2" t="str">
        <f>TEXT(Table1[[#This Row],[Date]],"DD")</f>
        <v>02</v>
      </c>
      <c r="I22" s="2" t="str">
        <f>TEXT(Table1[[#This Row],[Date]],"MM")</f>
        <v>01</v>
      </c>
      <c r="J22" s="2" t="str">
        <f>TEXT(Table1[[#This Row],[Date]],"YYYY")</f>
        <v>2023</v>
      </c>
      <c r="K22" s="24" t="str">
        <f>IF(Table1[[#This Row],[Amount]]&gt;40000,"High","low")</f>
        <v>High</v>
      </c>
      <c r="L22" s="24" t="str">
        <f>IF(AND(Table1[[#This Row],[Region]]="North",Table1[[#This Row],[Amount]]&gt;50000),"achive","Not achive")</f>
        <v>Not achive</v>
      </c>
      <c r="M22" s="27"/>
    </row>
    <row r="23" spans="2:13" ht="14.25" customHeight="1">
      <c r="B23" s="4">
        <v>45482</v>
      </c>
      <c r="C23" s="2" t="s">
        <v>17</v>
      </c>
      <c r="D23" s="2" t="s">
        <v>21</v>
      </c>
      <c r="E23" s="2">
        <v>67</v>
      </c>
      <c r="F23" s="12">
        <v>17896</v>
      </c>
      <c r="G23" s="18">
        <f>Table1[[#This Row],[Amount]]*0.1</f>
        <v>1789.6000000000001</v>
      </c>
      <c r="H23" s="2" t="str">
        <f>TEXT(Table1[[#This Row],[Date]],"DD")</f>
        <v>09</v>
      </c>
      <c r="I23" s="2" t="str">
        <f>TEXT(Table1[[#This Row],[Date]],"MM")</f>
        <v>07</v>
      </c>
      <c r="J23" s="2" t="str">
        <f>TEXT(Table1[[#This Row],[Date]],"YYYY")</f>
        <v>2024</v>
      </c>
      <c r="K23" s="24" t="str">
        <f>IF(Table1[[#This Row],[Amount]]&gt;40000,"High","low")</f>
        <v>low</v>
      </c>
      <c r="L23" s="24" t="str">
        <f>IF(AND(Table1[[#This Row],[Region]]="North",Table1[[#This Row],[Amount]]&gt;50000),"achive","Not achive")</f>
        <v>Not achive</v>
      </c>
      <c r="M23" s="27"/>
    </row>
    <row r="24" spans="2:13" ht="14.25" customHeight="1">
      <c r="B24" s="4">
        <v>45088</v>
      </c>
      <c r="C24" s="2" t="s">
        <v>11</v>
      </c>
      <c r="D24" s="2" t="s">
        <v>21</v>
      </c>
      <c r="E24" s="2">
        <v>128</v>
      </c>
      <c r="F24" s="12">
        <v>47175</v>
      </c>
      <c r="G24" s="18">
        <f>Table1[[#This Row],[Amount]]*0.1</f>
        <v>4717.5</v>
      </c>
      <c r="H24" s="2" t="str">
        <f>TEXT(Table1[[#This Row],[Date]],"DD")</f>
        <v>11</v>
      </c>
      <c r="I24" s="2" t="str">
        <f>TEXT(Table1[[#This Row],[Date]],"MM")</f>
        <v>06</v>
      </c>
      <c r="J24" s="2" t="str">
        <f>TEXT(Table1[[#This Row],[Date]],"YYYY")</f>
        <v>2023</v>
      </c>
      <c r="K24" s="24" t="str">
        <f>IF(Table1[[#This Row],[Amount]]&gt;40000,"High","low")</f>
        <v>High</v>
      </c>
      <c r="L24" s="24" t="str">
        <f>IF(AND(Table1[[#This Row],[Region]]="North",Table1[[#This Row],[Amount]]&gt;50000),"achive","Not achive")</f>
        <v>Not achive</v>
      </c>
      <c r="M24" s="27"/>
    </row>
    <row r="25" spans="2:13" ht="14.25" customHeight="1">
      <c r="B25" s="4">
        <v>45197</v>
      </c>
      <c r="C25" s="2" t="s">
        <v>11</v>
      </c>
      <c r="D25" s="2" t="s">
        <v>21</v>
      </c>
      <c r="E25" s="2">
        <v>54</v>
      </c>
      <c r="F25" s="12">
        <v>21056</v>
      </c>
      <c r="G25" s="18">
        <f>Table1[[#This Row],[Amount]]*0.1</f>
        <v>2105.6</v>
      </c>
      <c r="H25" s="2" t="str">
        <f>TEXT(Table1[[#This Row],[Date]],"DD")</f>
        <v>28</v>
      </c>
      <c r="I25" s="2" t="str">
        <f>TEXT(Table1[[#This Row],[Date]],"MM")</f>
        <v>09</v>
      </c>
      <c r="J25" s="2" t="str">
        <f>TEXT(Table1[[#This Row],[Date]],"YYYY")</f>
        <v>2023</v>
      </c>
      <c r="K25" s="24" t="str">
        <f>IF(Table1[[#This Row],[Amount]]&gt;40000,"High","low")</f>
        <v>low</v>
      </c>
      <c r="L25" s="24" t="str">
        <f>IF(AND(Table1[[#This Row],[Region]]="North",Table1[[#This Row],[Amount]]&gt;50000),"achive","Not achive")</f>
        <v>Not achive</v>
      </c>
      <c r="M25" s="27"/>
    </row>
    <row r="26" spans="2:13" ht="14.25" customHeight="1">
      <c r="B26" s="4">
        <v>45264</v>
      </c>
      <c r="C26" s="2" t="s">
        <v>16</v>
      </c>
      <c r="D26" s="2" t="s">
        <v>21</v>
      </c>
      <c r="E26" s="2">
        <v>24</v>
      </c>
      <c r="F26" s="12">
        <v>54222</v>
      </c>
      <c r="G26" s="18">
        <f>Table1[[#This Row],[Amount]]*0.1</f>
        <v>5422.2000000000007</v>
      </c>
      <c r="H26" s="2" t="str">
        <f>TEXT(Table1[[#This Row],[Date]],"DD")</f>
        <v>04</v>
      </c>
      <c r="I26" s="2" t="str">
        <f>TEXT(Table1[[#This Row],[Date]],"MM")</f>
        <v>12</v>
      </c>
      <c r="J26" s="2" t="str">
        <f>TEXT(Table1[[#This Row],[Date]],"YYYY")</f>
        <v>2023</v>
      </c>
      <c r="K26" s="24" t="str">
        <f>IF(Table1[[#This Row],[Amount]]&gt;40000,"High","low")</f>
        <v>High</v>
      </c>
      <c r="L26" s="24" t="str">
        <f>IF(AND(Table1[[#This Row],[Region]]="North",Table1[[#This Row],[Amount]]&gt;50000),"achive","Not achive")</f>
        <v>Not achive</v>
      </c>
      <c r="M26" s="27"/>
    </row>
    <row r="27" spans="2:13" ht="14.25" customHeight="1">
      <c r="B27" s="4">
        <v>45157</v>
      </c>
      <c r="C27" s="2" t="s">
        <v>17</v>
      </c>
      <c r="D27" s="2" t="s">
        <v>21</v>
      </c>
      <c r="E27" s="2">
        <v>13</v>
      </c>
      <c r="F27" s="12">
        <v>96435</v>
      </c>
      <c r="G27" s="18">
        <f>Table1[[#This Row],[Amount]]*0.1</f>
        <v>9643.5</v>
      </c>
      <c r="H27" s="2" t="str">
        <f>TEXT(Table1[[#This Row],[Date]],"DD")</f>
        <v>19</v>
      </c>
      <c r="I27" s="2" t="str">
        <f>TEXT(Table1[[#This Row],[Date]],"MM")</f>
        <v>08</v>
      </c>
      <c r="J27" s="2" t="str">
        <f>TEXT(Table1[[#This Row],[Date]],"YYYY")</f>
        <v>2023</v>
      </c>
      <c r="K27" s="24" t="str">
        <f>IF(Table1[[#This Row],[Amount]]&gt;40000,"High","low")</f>
        <v>High</v>
      </c>
      <c r="L27" s="24" t="str">
        <f>IF(AND(Table1[[#This Row],[Region]]="North",Table1[[#This Row],[Amount]]&gt;50000),"achive","Not achive")</f>
        <v>Not achive</v>
      </c>
      <c r="M27" s="27"/>
    </row>
    <row r="28" spans="2:13" ht="14.25" customHeight="1">
      <c r="B28" s="4">
        <v>44967</v>
      </c>
      <c r="C28" s="2" t="s">
        <v>16</v>
      </c>
      <c r="D28" s="2" t="s">
        <v>21</v>
      </c>
      <c r="E28" s="2">
        <v>60</v>
      </c>
      <c r="F28" s="12">
        <v>44919</v>
      </c>
      <c r="G28" s="18">
        <f>Table1[[#This Row],[Amount]]*0.1</f>
        <v>4491.9000000000005</v>
      </c>
      <c r="H28" s="2" t="str">
        <f>TEXT(Table1[[#This Row],[Date]],"DD")</f>
        <v>10</v>
      </c>
      <c r="I28" s="2" t="str">
        <f>TEXT(Table1[[#This Row],[Date]],"MM")</f>
        <v>02</v>
      </c>
      <c r="J28" s="2" t="str">
        <f>TEXT(Table1[[#This Row],[Date]],"YYYY")</f>
        <v>2023</v>
      </c>
      <c r="K28" s="24" t="str">
        <f>IF(Table1[[#This Row],[Amount]]&gt;40000,"High","low")</f>
        <v>High</v>
      </c>
      <c r="L28" s="24" t="str">
        <f>IF(AND(Table1[[#This Row],[Region]]="North",Table1[[#This Row],[Amount]]&gt;50000),"achive","Not achive")</f>
        <v>Not achive</v>
      </c>
      <c r="M28" s="27"/>
    </row>
    <row r="29" spans="2:13" ht="14.25" customHeight="1">
      <c r="B29" s="4">
        <v>44954</v>
      </c>
      <c r="C29" s="2" t="s">
        <v>15</v>
      </c>
      <c r="D29" s="2" t="s">
        <v>21</v>
      </c>
      <c r="E29" s="2">
        <v>135</v>
      </c>
      <c r="F29" s="12">
        <v>36247</v>
      </c>
      <c r="G29" s="18">
        <f>Table1[[#This Row],[Amount]]*0.1</f>
        <v>3624.7000000000003</v>
      </c>
      <c r="H29" s="2" t="str">
        <f>TEXT(Table1[[#This Row],[Date]],"DD")</f>
        <v>28</v>
      </c>
      <c r="I29" s="2" t="str">
        <f>TEXT(Table1[[#This Row],[Date]],"MM")</f>
        <v>01</v>
      </c>
      <c r="J29" s="2" t="str">
        <f>TEXT(Table1[[#This Row],[Date]],"YYYY")</f>
        <v>2023</v>
      </c>
      <c r="K29" s="24" t="str">
        <f>IF(Table1[[#This Row],[Amount]]&gt;40000,"High","low")</f>
        <v>low</v>
      </c>
      <c r="L29" s="24" t="str">
        <f>IF(AND(Table1[[#This Row],[Region]]="North",Table1[[#This Row],[Amount]]&gt;50000),"achive","Not achive")</f>
        <v>Not achive</v>
      </c>
      <c r="M29" s="27"/>
    </row>
    <row r="30" spans="2:13" ht="14.25" customHeight="1">
      <c r="B30" s="4">
        <v>45197</v>
      </c>
      <c r="C30" s="2" t="s">
        <v>16</v>
      </c>
      <c r="D30" s="2" t="s">
        <v>22</v>
      </c>
      <c r="E30" s="2">
        <v>189</v>
      </c>
      <c r="F30" s="14">
        <v>3368</v>
      </c>
      <c r="G30" s="18">
        <f>Table1[[#This Row],[Amount]]*0.1</f>
        <v>336.8</v>
      </c>
      <c r="H30" s="2" t="str">
        <f>TEXT(Table1[[#This Row],[Date]],"DD")</f>
        <v>28</v>
      </c>
      <c r="I30" s="2" t="str">
        <f>TEXT(Table1[[#This Row],[Date]],"MM")</f>
        <v>09</v>
      </c>
      <c r="J30" s="2" t="str">
        <f>TEXT(Table1[[#This Row],[Date]],"YYYY")</f>
        <v>2023</v>
      </c>
      <c r="K30" s="24" t="str">
        <f>IF(Table1[[#This Row],[Amount]]&gt;40000,"High","low")</f>
        <v>low</v>
      </c>
      <c r="L30" s="24" t="str">
        <f>IF(AND(Table1[[#This Row],[Region]]="North",Table1[[#This Row],[Amount]]&gt;50000),"achive","Not achive")</f>
        <v>Not achive</v>
      </c>
      <c r="M30" s="27"/>
    </row>
    <row r="31" spans="2:13" ht="14.25" customHeight="1">
      <c r="B31" s="4">
        <v>45393</v>
      </c>
      <c r="C31" s="2" t="s">
        <v>15</v>
      </c>
      <c r="D31" s="2" t="s">
        <v>22</v>
      </c>
      <c r="E31" s="2">
        <v>142</v>
      </c>
      <c r="F31" s="12">
        <v>92083</v>
      </c>
      <c r="G31" s="18">
        <f>Table1[[#This Row],[Amount]]*0.1</f>
        <v>9208.3000000000011</v>
      </c>
      <c r="H31" s="2" t="str">
        <f>TEXT(Table1[[#This Row],[Date]],"DD")</f>
        <v>11</v>
      </c>
      <c r="I31" s="2" t="str">
        <f>TEXT(Table1[[#This Row],[Date]],"MM")</f>
        <v>04</v>
      </c>
      <c r="J31" s="2" t="str">
        <f>TEXT(Table1[[#This Row],[Date]],"YYYY")</f>
        <v>2024</v>
      </c>
      <c r="K31" s="24" t="str">
        <f>IF(Table1[[#This Row],[Amount]]&gt;40000,"High","low")</f>
        <v>High</v>
      </c>
      <c r="L31" s="24" t="str">
        <f>IF(AND(Table1[[#This Row],[Region]]="North",Table1[[#This Row],[Amount]]&gt;50000),"achive","Not achive")</f>
        <v>Not achive</v>
      </c>
      <c r="M31" s="27"/>
    </row>
    <row r="32" spans="2:13" ht="14.25" customHeight="1">
      <c r="B32" s="4">
        <v>45257</v>
      </c>
      <c r="C32" s="2" t="s">
        <v>17</v>
      </c>
      <c r="D32" s="2" t="s">
        <v>22</v>
      </c>
      <c r="E32" s="2">
        <v>48</v>
      </c>
      <c r="F32" s="12">
        <v>56766</v>
      </c>
      <c r="G32" s="18">
        <f>Table1[[#This Row],[Amount]]*0.1</f>
        <v>5676.6</v>
      </c>
      <c r="H32" s="2" t="str">
        <f>TEXT(Table1[[#This Row],[Date]],"DD")</f>
        <v>27</v>
      </c>
      <c r="I32" s="2" t="str">
        <f>TEXT(Table1[[#This Row],[Date]],"MM")</f>
        <v>11</v>
      </c>
      <c r="J32" s="2" t="str">
        <f>TEXT(Table1[[#This Row],[Date]],"YYYY")</f>
        <v>2023</v>
      </c>
      <c r="K32" s="24" t="str">
        <f>IF(Table1[[#This Row],[Amount]]&gt;40000,"High","low")</f>
        <v>High</v>
      </c>
      <c r="L32" s="24" t="str">
        <f>IF(AND(Table1[[#This Row],[Region]]="North",Table1[[#This Row],[Amount]]&gt;50000),"achive","Not achive")</f>
        <v>Not achive</v>
      </c>
      <c r="M32" s="27"/>
    </row>
    <row r="33" spans="2:13" ht="14.25" customHeight="1">
      <c r="B33" s="4">
        <v>45385</v>
      </c>
      <c r="C33" s="2" t="s">
        <v>16</v>
      </c>
      <c r="D33" s="2" t="s">
        <v>22</v>
      </c>
      <c r="E33" s="2">
        <v>148</v>
      </c>
      <c r="F33" s="12">
        <v>14403</v>
      </c>
      <c r="G33" s="18">
        <f>Table1[[#This Row],[Amount]]*0.1</f>
        <v>1440.3000000000002</v>
      </c>
      <c r="H33" s="2" t="str">
        <f>TEXT(Table1[[#This Row],[Date]],"DD")</f>
        <v>03</v>
      </c>
      <c r="I33" s="2" t="str">
        <f>TEXT(Table1[[#This Row],[Date]],"MM")</f>
        <v>04</v>
      </c>
      <c r="J33" s="2" t="str">
        <f>TEXT(Table1[[#This Row],[Date]],"YYYY")</f>
        <v>2024</v>
      </c>
      <c r="K33" s="24" t="str">
        <f>IF(Table1[[#This Row],[Amount]]&gt;40000,"High","low")</f>
        <v>low</v>
      </c>
      <c r="L33" s="24" t="str">
        <f>IF(AND(Table1[[#This Row],[Region]]="North",Table1[[#This Row],[Amount]]&gt;50000),"achive","Not achive")</f>
        <v>Not achive</v>
      </c>
      <c r="M33" s="27"/>
    </row>
    <row r="34" spans="2:13" ht="14.25" customHeight="1">
      <c r="B34" s="4">
        <v>45270</v>
      </c>
      <c r="C34" s="2" t="s">
        <v>15</v>
      </c>
      <c r="D34" s="2" t="s">
        <v>22</v>
      </c>
      <c r="E34" s="2">
        <v>128</v>
      </c>
      <c r="F34" s="12">
        <v>50726</v>
      </c>
      <c r="G34" s="18">
        <f>Table1[[#This Row],[Amount]]*0.1</f>
        <v>5072.6000000000004</v>
      </c>
      <c r="H34" s="2" t="str">
        <f>TEXT(Table1[[#This Row],[Date]],"DD")</f>
        <v>10</v>
      </c>
      <c r="I34" s="2" t="str">
        <f>TEXT(Table1[[#This Row],[Date]],"MM")</f>
        <v>12</v>
      </c>
      <c r="J34" s="2" t="str">
        <f>TEXT(Table1[[#This Row],[Date]],"YYYY")</f>
        <v>2023</v>
      </c>
      <c r="K34" s="24" t="str">
        <f>IF(Table1[[#This Row],[Amount]]&gt;40000,"High","low")</f>
        <v>High</v>
      </c>
      <c r="L34" s="24" t="str">
        <f>IF(AND(Table1[[#This Row],[Region]]="North",Table1[[#This Row],[Amount]]&gt;50000),"achive","Not achive")</f>
        <v>Not achive</v>
      </c>
      <c r="M34" s="27"/>
    </row>
    <row r="35" spans="2:13" ht="14.25" customHeight="1">
      <c r="B35" s="4">
        <v>45340</v>
      </c>
      <c r="C35" s="2" t="s">
        <v>11</v>
      </c>
      <c r="D35" s="2" t="s">
        <v>22</v>
      </c>
      <c r="E35" s="2">
        <v>176</v>
      </c>
      <c r="F35" s="12">
        <v>23677</v>
      </c>
      <c r="G35" s="18">
        <f>Table1[[#This Row],[Amount]]*0.1</f>
        <v>2367.7000000000003</v>
      </c>
      <c r="H35" s="2" t="str">
        <f>TEXT(Table1[[#This Row],[Date]],"DD")</f>
        <v>18</v>
      </c>
      <c r="I35" s="2" t="str">
        <f>TEXT(Table1[[#This Row],[Date]],"MM")</f>
        <v>02</v>
      </c>
      <c r="J35" s="2" t="str">
        <f>TEXT(Table1[[#This Row],[Date]],"YYYY")</f>
        <v>2024</v>
      </c>
      <c r="K35" s="24" t="str">
        <f>IF(Table1[[#This Row],[Amount]]&gt;40000,"High","low")</f>
        <v>low</v>
      </c>
      <c r="L35" s="24" t="str">
        <f>IF(AND(Table1[[#This Row],[Region]]="North",Table1[[#This Row],[Amount]]&gt;50000),"achive","Not achive")</f>
        <v>Not achive</v>
      </c>
      <c r="M35" s="27"/>
    </row>
    <row r="36" spans="2:13" ht="14.25" customHeight="1">
      <c r="B36" s="4">
        <v>45312</v>
      </c>
      <c r="C36" s="2" t="s">
        <v>15</v>
      </c>
      <c r="D36" s="2" t="s">
        <v>22</v>
      </c>
      <c r="E36" s="2">
        <v>187</v>
      </c>
      <c r="F36" s="12">
        <v>56609</v>
      </c>
      <c r="G36" s="18">
        <f>Table1[[#This Row],[Amount]]*0.1</f>
        <v>5660.9000000000005</v>
      </c>
      <c r="H36" s="2" t="str">
        <f>TEXT(Table1[[#This Row],[Date]],"DD")</f>
        <v>21</v>
      </c>
      <c r="I36" s="2" t="str">
        <f>TEXT(Table1[[#This Row],[Date]],"MM")</f>
        <v>01</v>
      </c>
      <c r="J36" s="2" t="str">
        <f>TEXT(Table1[[#This Row],[Date]],"YYYY")</f>
        <v>2024</v>
      </c>
      <c r="K36" s="24" t="str">
        <f>IF(Table1[[#This Row],[Amount]]&gt;40000,"High","low")</f>
        <v>High</v>
      </c>
      <c r="L36" s="24" t="str">
        <f>IF(AND(Table1[[#This Row],[Region]]="North",Table1[[#This Row],[Amount]]&gt;50000),"achive","Not achive")</f>
        <v>Not achive</v>
      </c>
      <c r="M36" s="27"/>
    </row>
    <row r="37" spans="2:13" ht="14.25" customHeight="1">
      <c r="B37" s="4">
        <v>45203</v>
      </c>
      <c r="C37" s="2" t="s">
        <v>15</v>
      </c>
      <c r="D37" s="2" t="s">
        <v>22</v>
      </c>
      <c r="E37" s="2">
        <v>119</v>
      </c>
      <c r="F37" s="12">
        <v>57661</v>
      </c>
      <c r="G37" s="18">
        <f>Table1[[#This Row],[Amount]]*0.1</f>
        <v>5766.1</v>
      </c>
      <c r="H37" s="2" t="str">
        <f>TEXT(Table1[[#This Row],[Date]],"DD")</f>
        <v>04</v>
      </c>
      <c r="I37" s="2" t="str">
        <f>TEXT(Table1[[#This Row],[Date]],"MM")</f>
        <v>10</v>
      </c>
      <c r="J37" s="2" t="str">
        <f>TEXT(Table1[[#This Row],[Date]],"YYYY")</f>
        <v>2023</v>
      </c>
      <c r="K37" s="24" t="str">
        <f>IF(Table1[[#This Row],[Amount]]&gt;40000,"High","low")</f>
        <v>High</v>
      </c>
      <c r="L37" s="24" t="str">
        <f>IF(AND(Table1[[#This Row],[Region]]="North",Table1[[#This Row],[Amount]]&gt;50000),"achive","Not achive")</f>
        <v>Not achive</v>
      </c>
      <c r="M37" s="27"/>
    </row>
    <row r="38" spans="2:13" ht="14.25" customHeight="1">
      <c r="B38" s="4">
        <v>45179</v>
      </c>
      <c r="C38" s="2" t="s">
        <v>17</v>
      </c>
      <c r="D38" s="2" t="s">
        <v>22</v>
      </c>
      <c r="E38" s="2">
        <v>51</v>
      </c>
      <c r="F38" s="12">
        <v>16338</v>
      </c>
      <c r="G38" s="18">
        <f>Table1[[#This Row],[Amount]]*0.1</f>
        <v>1633.8000000000002</v>
      </c>
      <c r="H38" s="2" t="str">
        <f>TEXT(Table1[[#This Row],[Date]],"DD")</f>
        <v>10</v>
      </c>
      <c r="I38" s="2" t="str">
        <f>TEXT(Table1[[#This Row],[Date]],"MM")</f>
        <v>09</v>
      </c>
      <c r="J38" s="2" t="str">
        <f>TEXT(Table1[[#This Row],[Date]],"YYYY")</f>
        <v>2023</v>
      </c>
      <c r="K38" s="24" t="str">
        <f>IF(Table1[[#This Row],[Amount]]&gt;40000,"High","low")</f>
        <v>low</v>
      </c>
      <c r="L38" s="24" t="str">
        <f>IF(AND(Table1[[#This Row],[Region]]="North",Table1[[#This Row],[Amount]]&gt;50000),"achive","Not achive")</f>
        <v>Not achive</v>
      </c>
      <c r="M38" s="27"/>
    </row>
    <row r="39" spans="2:13" ht="14.25" customHeight="1">
      <c r="B39" s="4">
        <v>45487</v>
      </c>
      <c r="C39" s="2" t="s">
        <v>15</v>
      </c>
      <c r="D39" s="2" t="s">
        <v>22</v>
      </c>
      <c r="E39" s="2">
        <v>182</v>
      </c>
      <c r="F39" s="12">
        <v>69027</v>
      </c>
      <c r="G39" s="18">
        <f>Table1[[#This Row],[Amount]]*0.1</f>
        <v>6902.7000000000007</v>
      </c>
      <c r="H39" s="2" t="str">
        <f>TEXT(Table1[[#This Row],[Date]],"DD")</f>
        <v>14</v>
      </c>
      <c r="I39" s="2" t="str">
        <f>TEXT(Table1[[#This Row],[Date]],"MM")</f>
        <v>07</v>
      </c>
      <c r="J39" s="2" t="str">
        <f>TEXT(Table1[[#This Row],[Date]],"YYYY")</f>
        <v>2024</v>
      </c>
      <c r="K39" s="24" t="str">
        <f>IF(Table1[[#This Row],[Amount]]&gt;40000,"High","low")</f>
        <v>High</v>
      </c>
      <c r="L39" s="24" t="str">
        <f>IF(AND(Table1[[#This Row],[Region]]="North",Table1[[#This Row],[Amount]]&gt;50000),"achive","Not achive")</f>
        <v>Not achive</v>
      </c>
      <c r="M39" s="27"/>
    </row>
    <row r="40" spans="2:13" ht="14.25" customHeight="1">
      <c r="B40" s="4">
        <v>45431</v>
      </c>
      <c r="C40" s="2" t="s">
        <v>17</v>
      </c>
      <c r="D40" s="2" t="s">
        <v>22</v>
      </c>
      <c r="E40" s="2">
        <v>192</v>
      </c>
      <c r="F40" s="12">
        <v>67412</v>
      </c>
      <c r="G40" s="18">
        <f>Table1[[#This Row],[Amount]]*0.1</f>
        <v>6741.2000000000007</v>
      </c>
      <c r="H40" s="2" t="str">
        <f>TEXT(Table1[[#This Row],[Date]],"DD")</f>
        <v>19</v>
      </c>
      <c r="I40" s="2" t="str">
        <f>TEXT(Table1[[#This Row],[Date]],"MM")</f>
        <v>05</v>
      </c>
      <c r="J40" s="2" t="str">
        <f>TEXT(Table1[[#This Row],[Date]],"YYYY")</f>
        <v>2024</v>
      </c>
      <c r="K40" s="24" t="str">
        <f>IF(Table1[[#This Row],[Amount]]&gt;40000,"High","low")</f>
        <v>High</v>
      </c>
      <c r="L40" s="24" t="str">
        <f>IF(AND(Table1[[#This Row],[Region]]="North",Table1[[#This Row],[Amount]]&gt;50000),"achive","Not achive")</f>
        <v>Not achive</v>
      </c>
      <c r="M40" s="27"/>
    </row>
    <row r="41" spans="2:13" ht="14.25" customHeight="1">
      <c r="B41" s="4">
        <v>45200</v>
      </c>
      <c r="C41" s="2" t="s">
        <v>16</v>
      </c>
      <c r="D41" s="2" t="s">
        <v>22</v>
      </c>
      <c r="E41" s="2">
        <v>4</v>
      </c>
      <c r="F41" s="12">
        <v>81738</v>
      </c>
      <c r="G41" s="18">
        <f>Table1[[#This Row],[Amount]]*0.1</f>
        <v>8173.8</v>
      </c>
      <c r="H41" s="2" t="str">
        <f>TEXT(Table1[[#This Row],[Date]],"DD")</f>
        <v>01</v>
      </c>
      <c r="I41" s="2" t="str">
        <f>TEXT(Table1[[#This Row],[Date]],"MM")</f>
        <v>10</v>
      </c>
      <c r="J41" s="2" t="str">
        <f>TEXT(Table1[[#This Row],[Date]],"YYYY")</f>
        <v>2023</v>
      </c>
      <c r="K41" s="24" t="str">
        <f>IF(Table1[[#This Row],[Amount]]&gt;40000,"High","low")</f>
        <v>High</v>
      </c>
      <c r="L41" s="24" t="str">
        <f>IF(AND(Table1[[#This Row],[Region]]="North",Table1[[#This Row],[Amount]]&gt;50000),"achive","Not achive")</f>
        <v>Not achive</v>
      </c>
      <c r="M41" s="27"/>
    </row>
    <row r="42" spans="2:13" ht="14.25" customHeight="1">
      <c r="B42" s="4">
        <v>45314</v>
      </c>
      <c r="C42" s="2" t="s">
        <v>15</v>
      </c>
      <c r="D42" s="2" t="s">
        <v>22</v>
      </c>
      <c r="E42" s="2">
        <v>35</v>
      </c>
      <c r="F42" s="12">
        <v>40734</v>
      </c>
      <c r="G42" s="18">
        <f>Table1[[#This Row],[Amount]]*0.1</f>
        <v>4073.4</v>
      </c>
      <c r="H42" s="2" t="str">
        <f>TEXT(Table1[[#This Row],[Date]],"DD")</f>
        <v>23</v>
      </c>
      <c r="I42" s="2" t="str">
        <f>TEXT(Table1[[#This Row],[Date]],"MM")</f>
        <v>01</v>
      </c>
      <c r="J42" s="2" t="str">
        <f>TEXT(Table1[[#This Row],[Date]],"YYYY")</f>
        <v>2024</v>
      </c>
      <c r="K42" s="24" t="str">
        <f>IF(Table1[[#This Row],[Amount]]&gt;40000,"High","low")</f>
        <v>High</v>
      </c>
      <c r="L42" s="24" t="str">
        <f>IF(AND(Table1[[#This Row],[Region]]="North",Table1[[#This Row],[Amount]]&gt;50000),"achive","Not achive")</f>
        <v>Not achive</v>
      </c>
      <c r="M42" s="27"/>
    </row>
    <row r="43" spans="2:13" ht="14.25" customHeight="1">
      <c r="B43" s="4">
        <v>45488</v>
      </c>
      <c r="C43" s="2" t="s">
        <v>11</v>
      </c>
      <c r="D43" s="2" t="s">
        <v>22</v>
      </c>
      <c r="E43" s="2">
        <v>181</v>
      </c>
      <c r="F43" s="12">
        <v>9308</v>
      </c>
      <c r="G43" s="18">
        <f>Table1[[#This Row],[Amount]]*0.1</f>
        <v>930.80000000000007</v>
      </c>
      <c r="H43" s="2" t="str">
        <f>TEXT(Table1[[#This Row],[Date]],"DD")</f>
        <v>15</v>
      </c>
      <c r="I43" s="2" t="str">
        <f>TEXT(Table1[[#This Row],[Date]],"MM")</f>
        <v>07</v>
      </c>
      <c r="J43" s="2" t="str">
        <f>TEXT(Table1[[#This Row],[Date]],"YYYY")</f>
        <v>2024</v>
      </c>
      <c r="K43" s="24" t="str">
        <f>IF(Table1[[#This Row],[Amount]]&gt;40000,"High","low")</f>
        <v>low</v>
      </c>
      <c r="L43" s="24" t="str">
        <f>IF(AND(Table1[[#This Row],[Region]]="North",Table1[[#This Row],[Amount]]&gt;50000),"achive","Not achive")</f>
        <v>Not achive</v>
      </c>
      <c r="M43" s="27"/>
    </row>
    <row r="44" spans="2:13" ht="14.25" customHeight="1">
      <c r="B44" s="4">
        <v>45314</v>
      </c>
      <c r="C44" s="2" t="s">
        <v>16</v>
      </c>
      <c r="D44" s="2" t="s">
        <v>22</v>
      </c>
      <c r="E44" s="2">
        <v>95</v>
      </c>
      <c r="F44" s="12">
        <v>6949</v>
      </c>
      <c r="G44" s="18">
        <f>Table1[[#This Row],[Amount]]*0.1</f>
        <v>694.90000000000009</v>
      </c>
      <c r="H44" s="2" t="str">
        <f>TEXT(Table1[[#This Row],[Date]],"DD")</f>
        <v>23</v>
      </c>
      <c r="I44" s="2" t="str">
        <f>TEXT(Table1[[#This Row],[Date]],"MM")</f>
        <v>01</v>
      </c>
      <c r="J44" s="2" t="str">
        <f>TEXT(Table1[[#This Row],[Date]],"YYYY")</f>
        <v>2024</v>
      </c>
      <c r="K44" s="24" t="str">
        <f>IF(Table1[[#This Row],[Amount]]&gt;40000,"High","low")</f>
        <v>low</v>
      </c>
      <c r="L44" s="24" t="str">
        <f>IF(AND(Table1[[#This Row],[Region]]="North",Table1[[#This Row],[Amount]]&gt;50000),"achive","Not achive")</f>
        <v>Not achive</v>
      </c>
      <c r="M44" s="27"/>
    </row>
    <row r="45" spans="2:13" ht="14.25" customHeight="1">
      <c r="B45" s="4">
        <v>45316</v>
      </c>
      <c r="C45" s="2" t="s">
        <v>15</v>
      </c>
      <c r="D45" s="2" t="s">
        <v>22</v>
      </c>
      <c r="E45" s="2">
        <v>188</v>
      </c>
      <c r="F45" s="12">
        <v>2150</v>
      </c>
      <c r="G45" s="18">
        <f>Table1[[#This Row],[Amount]]*0.1</f>
        <v>215</v>
      </c>
      <c r="H45" s="2" t="str">
        <f>TEXT(Table1[[#This Row],[Date]],"DD")</f>
        <v>25</v>
      </c>
      <c r="I45" s="2" t="str">
        <f>TEXT(Table1[[#This Row],[Date]],"MM")</f>
        <v>01</v>
      </c>
      <c r="J45" s="2" t="str">
        <f>TEXT(Table1[[#This Row],[Date]],"YYYY")</f>
        <v>2024</v>
      </c>
      <c r="K45" s="24" t="str">
        <f>IF(Table1[[#This Row],[Amount]]&gt;40000,"High","low")</f>
        <v>low</v>
      </c>
      <c r="L45" s="24" t="str">
        <f>IF(AND(Table1[[#This Row],[Region]]="North",Table1[[#This Row],[Amount]]&gt;50000),"achive","Not achive")</f>
        <v>Not achive</v>
      </c>
      <c r="M45" s="27"/>
    </row>
    <row r="46" spans="2:13" ht="14.25" customHeight="1">
      <c r="B46" s="4">
        <v>45403</v>
      </c>
      <c r="C46" s="2" t="s">
        <v>16</v>
      </c>
      <c r="D46" s="2" t="s">
        <v>22</v>
      </c>
      <c r="E46" s="2">
        <v>160</v>
      </c>
      <c r="F46" s="12">
        <v>67617</v>
      </c>
      <c r="G46" s="18">
        <f>Table1[[#This Row],[Amount]]*0.1</f>
        <v>6761.7000000000007</v>
      </c>
      <c r="H46" s="2" t="str">
        <f>TEXT(Table1[[#This Row],[Date]],"DD")</f>
        <v>21</v>
      </c>
      <c r="I46" s="2" t="str">
        <f>TEXT(Table1[[#This Row],[Date]],"MM")</f>
        <v>04</v>
      </c>
      <c r="J46" s="2" t="str">
        <f>TEXT(Table1[[#This Row],[Date]],"YYYY")</f>
        <v>2024</v>
      </c>
      <c r="K46" s="24" t="str">
        <f>IF(Table1[[#This Row],[Amount]]&gt;40000,"High","low")</f>
        <v>High</v>
      </c>
      <c r="L46" s="24" t="str">
        <f>IF(AND(Table1[[#This Row],[Region]]="North",Table1[[#This Row],[Amount]]&gt;50000),"achive","Not achive")</f>
        <v>Not achive</v>
      </c>
      <c r="M46" s="27"/>
    </row>
    <row r="47" spans="2:13" ht="14.25" customHeight="1">
      <c r="B47" s="4">
        <v>45328</v>
      </c>
      <c r="C47" s="2" t="s">
        <v>17</v>
      </c>
      <c r="D47" s="2" t="s">
        <v>22</v>
      </c>
      <c r="E47" s="2">
        <v>161</v>
      </c>
      <c r="F47" s="12">
        <v>95841</v>
      </c>
      <c r="G47" s="18">
        <f>Table1[[#This Row],[Amount]]*0.1</f>
        <v>9584.1</v>
      </c>
      <c r="H47" s="2" t="str">
        <f>TEXT(Table1[[#This Row],[Date]],"DD")</f>
        <v>06</v>
      </c>
      <c r="I47" s="2" t="str">
        <f>TEXT(Table1[[#This Row],[Date]],"MM")</f>
        <v>02</v>
      </c>
      <c r="J47" s="2" t="str">
        <f>TEXT(Table1[[#This Row],[Date]],"YYYY")</f>
        <v>2024</v>
      </c>
      <c r="K47" s="24" t="str">
        <f>IF(Table1[[#This Row],[Amount]]&gt;40000,"High","low")</f>
        <v>High</v>
      </c>
      <c r="L47" s="24" t="str">
        <f>IF(AND(Table1[[#This Row],[Region]]="North",Table1[[#This Row],[Amount]]&gt;50000),"achive","Not achive")</f>
        <v>Not achive</v>
      </c>
      <c r="M47" s="27"/>
    </row>
    <row r="48" spans="2:13" ht="14.25" customHeight="1">
      <c r="B48" s="4">
        <v>45382</v>
      </c>
      <c r="C48" s="2" t="s">
        <v>17</v>
      </c>
      <c r="D48" s="2" t="s">
        <v>22</v>
      </c>
      <c r="E48" s="2">
        <v>58</v>
      </c>
      <c r="F48" s="12">
        <v>46543</v>
      </c>
      <c r="G48" s="18">
        <f>Table1[[#This Row],[Amount]]*0.1</f>
        <v>4654.3</v>
      </c>
      <c r="H48" s="2" t="str">
        <f>TEXT(Table1[[#This Row],[Date]],"DD")</f>
        <v>31</v>
      </c>
      <c r="I48" s="2" t="str">
        <f>TEXT(Table1[[#This Row],[Date]],"MM")</f>
        <v>03</v>
      </c>
      <c r="J48" s="2" t="str">
        <f>TEXT(Table1[[#This Row],[Date]],"YYYY")</f>
        <v>2024</v>
      </c>
      <c r="K48" s="24" t="str">
        <f>IF(Table1[[#This Row],[Amount]]&gt;40000,"High","low")</f>
        <v>High</v>
      </c>
      <c r="L48" s="24" t="str">
        <f>IF(AND(Table1[[#This Row],[Region]]="North",Table1[[#This Row],[Amount]]&gt;50000),"achive","Not achive")</f>
        <v>Not achive</v>
      </c>
      <c r="M48" s="27"/>
    </row>
    <row r="49" spans="2:13" ht="14.25" customHeight="1">
      <c r="B49" s="4">
        <v>45222</v>
      </c>
      <c r="C49" s="2" t="s">
        <v>16</v>
      </c>
      <c r="D49" s="2" t="s">
        <v>22</v>
      </c>
      <c r="E49" s="2">
        <v>174</v>
      </c>
      <c r="F49" s="12">
        <v>14500</v>
      </c>
      <c r="G49" s="18">
        <f>Table1[[#This Row],[Amount]]*0.1</f>
        <v>1450</v>
      </c>
      <c r="H49" s="2" t="str">
        <f>TEXT(Table1[[#This Row],[Date]],"DD")</f>
        <v>23</v>
      </c>
      <c r="I49" s="2" t="str">
        <f>TEXT(Table1[[#This Row],[Date]],"MM")</f>
        <v>10</v>
      </c>
      <c r="J49" s="2" t="str">
        <f>TEXT(Table1[[#This Row],[Date]],"YYYY")</f>
        <v>2023</v>
      </c>
      <c r="K49" s="24" t="str">
        <f>IF(Table1[[#This Row],[Amount]]&gt;40000,"High","low")</f>
        <v>low</v>
      </c>
      <c r="L49" s="24" t="str">
        <f>IF(AND(Table1[[#This Row],[Region]]="North",Table1[[#This Row],[Amount]]&gt;50000),"achive","Not achive")</f>
        <v>Not achive</v>
      </c>
      <c r="M49" s="27"/>
    </row>
    <row r="50" spans="2:13" ht="14.25" customHeight="1">
      <c r="B50" s="4">
        <v>44979</v>
      </c>
      <c r="C50" s="2" t="s">
        <v>16</v>
      </c>
      <c r="D50" s="2" t="s">
        <v>22</v>
      </c>
      <c r="E50" s="2">
        <v>114</v>
      </c>
      <c r="F50" s="12">
        <v>30375</v>
      </c>
      <c r="G50" s="18">
        <f>Table1[[#This Row],[Amount]]*0.1</f>
        <v>3037.5</v>
      </c>
      <c r="H50" s="2" t="str">
        <f>TEXT(Table1[[#This Row],[Date]],"DD")</f>
        <v>22</v>
      </c>
      <c r="I50" s="2" t="str">
        <f>TEXT(Table1[[#This Row],[Date]],"MM")</f>
        <v>02</v>
      </c>
      <c r="J50" s="2" t="str">
        <f>TEXT(Table1[[#This Row],[Date]],"YYYY")</f>
        <v>2023</v>
      </c>
      <c r="K50" s="24" t="str">
        <f>IF(Table1[[#This Row],[Amount]]&gt;40000,"High","low")</f>
        <v>low</v>
      </c>
      <c r="L50" s="24" t="str">
        <f>IF(AND(Table1[[#This Row],[Region]]="North",Table1[[#This Row],[Amount]]&gt;50000),"achive","Not achive")</f>
        <v>Not achive</v>
      </c>
      <c r="M50" s="27"/>
    </row>
    <row r="51" spans="2:13" ht="14.25" customHeight="1">
      <c r="B51" s="4">
        <v>44967</v>
      </c>
      <c r="C51" s="2" t="s">
        <v>17</v>
      </c>
      <c r="D51" s="2" t="s">
        <v>22</v>
      </c>
      <c r="E51" s="2">
        <v>194</v>
      </c>
      <c r="F51" s="12">
        <v>86067</v>
      </c>
      <c r="G51" s="18">
        <f>Table1[[#This Row],[Amount]]*0.1</f>
        <v>8606.7000000000007</v>
      </c>
      <c r="H51" s="2" t="str">
        <f>TEXT(Table1[[#This Row],[Date]],"DD")</f>
        <v>10</v>
      </c>
      <c r="I51" s="2" t="str">
        <f>TEXT(Table1[[#This Row],[Date]],"MM")</f>
        <v>02</v>
      </c>
      <c r="J51" s="2" t="str">
        <f>TEXT(Table1[[#This Row],[Date]],"YYYY")</f>
        <v>2023</v>
      </c>
      <c r="K51" s="24" t="str">
        <f>IF(Table1[[#This Row],[Amount]]&gt;40000,"High","low")</f>
        <v>High</v>
      </c>
      <c r="L51" s="24" t="str">
        <f>IF(AND(Table1[[#This Row],[Region]]="North",Table1[[#This Row],[Amount]]&gt;50000),"achive","Not achive")</f>
        <v>Not achive</v>
      </c>
      <c r="M51" s="27"/>
    </row>
    <row r="52" spans="2:13" ht="14.25" customHeight="1">
      <c r="B52" s="4">
        <v>45083</v>
      </c>
      <c r="C52" s="2" t="s">
        <v>15</v>
      </c>
      <c r="D52" s="2" t="s">
        <v>22</v>
      </c>
      <c r="E52" s="2">
        <v>127</v>
      </c>
      <c r="F52" s="12">
        <v>68215</v>
      </c>
      <c r="G52" s="18">
        <f>Table1[[#This Row],[Amount]]*0.1</f>
        <v>6821.5</v>
      </c>
      <c r="H52" s="2" t="str">
        <f>TEXT(Table1[[#This Row],[Date]],"DD")</f>
        <v>06</v>
      </c>
      <c r="I52" s="2" t="str">
        <f>TEXT(Table1[[#This Row],[Date]],"MM")</f>
        <v>06</v>
      </c>
      <c r="J52" s="2" t="str">
        <f>TEXT(Table1[[#This Row],[Date]],"YYYY")</f>
        <v>2023</v>
      </c>
      <c r="K52" s="24" t="str">
        <f>IF(Table1[[#This Row],[Amount]]&gt;40000,"High","low")</f>
        <v>High</v>
      </c>
      <c r="L52" s="24" t="str">
        <f>IF(AND(Table1[[#This Row],[Region]]="North",Table1[[#This Row],[Amount]]&gt;50000),"achive","Not achive")</f>
        <v>Not achive</v>
      </c>
      <c r="M52" s="27"/>
    </row>
    <row r="53" spans="2:13" ht="14.25" customHeight="1">
      <c r="B53" s="4">
        <v>45055</v>
      </c>
      <c r="C53" s="2" t="s">
        <v>11</v>
      </c>
      <c r="D53" s="2" t="s">
        <v>22</v>
      </c>
      <c r="E53" s="2">
        <v>161</v>
      </c>
      <c r="F53" s="12">
        <v>94468</v>
      </c>
      <c r="G53" s="18">
        <f>Table1[[#This Row],[Amount]]*0.1</f>
        <v>9446.8000000000011</v>
      </c>
      <c r="H53" s="2" t="str">
        <f>TEXT(Table1[[#This Row],[Date]],"DD")</f>
        <v>09</v>
      </c>
      <c r="I53" s="2" t="str">
        <f>TEXT(Table1[[#This Row],[Date]],"MM")</f>
        <v>05</v>
      </c>
      <c r="J53" s="2" t="str">
        <f>TEXT(Table1[[#This Row],[Date]],"YYYY")</f>
        <v>2023</v>
      </c>
      <c r="K53" s="24" t="str">
        <f>IF(Table1[[#This Row],[Amount]]&gt;40000,"High","low")</f>
        <v>High</v>
      </c>
      <c r="L53" s="24" t="str">
        <f>IF(AND(Table1[[#This Row],[Region]]="North",Table1[[#This Row],[Amount]]&gt;50000),"achive","Not achive")</f>
        <v>achive</v>
      </c>
      <c r="M53" s="27"/>
    </row>
    <row r="54" spans="2:13" ht="14.25" customHeight="1">
      <c r="B54" s="4">
        <v>45065</v>
      </c>
      <c r="C54" s="2" t="s">
        <v>15</v>
      </c>
      <c r="D54" s="2" t="s">
        <v>22</v>
      </c>
      <c r="E54" s="2">
        <v>176</v>
      </c>
      <c r="F54" s="12">
        <v>55340</v>
      </c>
      <c r="G54" s="18">
        <f>Table1[[#This Row],[Amount]]*0.1</f>
        <v>5534</v>
      </c>
      <c r="H54" s="2" t="str">
        <f>TEXT(Table1[[#This Row],[Date]],"DD")</f>
        <v>19</v>
      </c>
      <c r="I54" s="2" t="str">
        <f>TEXT(Table1[[#This Row],[Date]],"MM")</f>
        <v>05</v>
      </c>
      <c r="J54" s="2" t="str">
        <f>TEXT(Table1[[#This Row],[Date]],"YYYY")</f>
        <v>2023</v>
      </c>
      <c r="K54" s="24" t="str">
        <f>IF(Table1[[#This Row],[Amount]]&gt;40000,"High","low")</f>
        <v>High</v>
      </c>
      <c r="L54" s="24" t="str">
        <f>IF(AND(Table1[[#This Row],[Region]]="North",Table1[[#This Row],[Amount]]&gt;50000),"achive","Not achive")</f>
        <v>Not achive</v>
      </c>
      <c r="M54" s="27"/>
    </row>
    <row r="55" spans="2:13" ht="14.25" customHeight="1">
      <c r="B55" s="4">
        <v>45345</v>
      </c>
      <c r="C55" s="2" t="s">
        <v>11</v>
      </c>
      <c r="D55" s="2" t="s">
        <v>22</v>
      </c>
      <c r="E55" s="2">
        <v>99</v>
      </c>
      <c r="F55" s="12">
        <v>96981</v>
      </c>
      <c r="G55" s="18">
        <f>Table1[[#This Row],[Amount]]*0.1</f>
        <v>9698.1</v>
      </c>
      <c r="H55" s="2" t="str">
        <f>TEXT(Table1[[#This Row],[Date]],"DD")</f>
        <v>23</v>
      </c>
      <c r="I55" s="2" t="str">
        <f>TEXT(Table1[[#This Row],[Date]],"MM")</f>
        <v>02</v>
      </c>
      <c r="J55" s="2" t="str">
        <f>TEXT(Table1[[#This Row],[Date]],"YYYY")</f>
        <v>2024</v>
      </c>
      <c r="K55" s="24" t="str">
        <f>IF(Table1[[#This Row],[Amount]]&gt;40000,"High","low")</f>
        <v>High</v>
      </c>
      <c r="L55" s="24" t="str">
        <f>IF(AND(Table1[[#This Row],[Region]]="North",Table1[[#This Row],[Amount]]&gt;50000),"achive","Not achive")</f>
        <v>achive</v>
      </c>
      <c r="M55" s="27"/>
    </row>
    <row r="56" spans="2:13" ht="14.25" customHeight="1">
      <c r="B56" s="4">
        <v>45305</v>
      </c>
      <c r="C56" s="2" t="s">
        <v>15</v>
      </c>
      <c r="D56" s="2" t="s">
        <v>22</v>
      </c>
      <c r="E56" s="2">
        <v>153</v>
      </c>
      <c r="F56" s="12">
        <v>61403</v>
      </c>
      <c r="G56" s="18">
        <f>Table1[[#This Row],[Amount]]*0.1</f>
        <v>6140.3</v>
      </c>
      <c r="H56" s="2" t="str">
        <f>TEXT(Table1[[#This Row],[Date]],"DD")</f>
        <v>14</v>
      </c>
      <c r="I56" s="2" t="str">
        <f>TEXT(Table1[[#This Row],[Date]],"MM")</f>
        <v>01</v>
      </c>
      <c r="J56" s="2" t="str">
        <f>TEXT(Table1[[#This Row],[Date]],"YYYY")</f>
        <v>2024</v>
      </c>
      <c r="K56" s="24" t="str">
        <f>IF(Table1[[#This Row],[Amount]]&gt;40000,"High","low")</f>
        <v>High</v>
      </c>
      <c r="L56" s="24" t="str">
        <f>IF(AND(Table1[[#This Row],[Region]]="North",Table1[[#This Row],[Amount]]&gt;50000),"achive","Not achive")</f>
        <v>Not achive</v>
      </c>
      <c r="M56" s="27"/>
    </row>
    <row r="57" spans="2:13" ht="14.25" customHeight="1">
      <c r="B57" s="4">
        <v>44947</v>
      </c>
      <c r="C57" s="2" t="s">
        <v>11</v>
      </c>
      <c r="D57" s="2" t="s">
        <v>23</v>
      </c>
      <c r="E57" s="2">
        <v>68</v>
      </c>
      <c r="F57" s="12">
        <v>71031</v>
      </c>
      <c r="G57" s="18">
        <f>Table1[[#This Row],[Amount]]*0.1</f>
        <v>7103.1</v>
      </c>
      <c r="H57" s="2" t="str">
        <f>TEXT(Table1[[#This Row],[Date]],"DD")</f>
        <v>21</v>
      </c>
      <c r="I57" s="2" t="str">
        <f>TEXT(Table1[[#This Row],[Date]],"MM")</f>
        <v>01</v>
      </c>
      <c r="J57" s="2" t="str">
        <f>TEXT(Table1[[#This Row],[Date]],"YYYY")</f>
        <v>2023</v>
      </c>
      <c r="K57" s="24" t="str">
        <f>IF(Table1[[#This Row],[Amount]]&gt;40000,"High","low")</f>
        <v>High</v>
      </c>
      <c r="L57" s="24" t="str">
        <f>IF(AND(Table1[[#This Row],[Region]]="North",Table1[[#This Row],[Amount]]&gt;50000),"achive","Not achive")</f>
        <v>achive</v>
      </c>
      <c r="M57" s="27"/>
    </row>
    <row r="58" spans="2:13" ht="14.25" customHeight="1">
      <c r="B58" s="4">
        <v>45141</v>
      </c>
      <c r="C58" s="2" t="s">
        <v>15</v>
      </c>
      <c r="D58" s="2" t="s">
        <v>23</v>
      </c>
      <c r="E58" s="2">
        <v>21</v>
      </c>
      <c r="F58" s="12">
        <v>88922</v>
      </c>
      <c r="G58" s="18">
        <f>Table1[[#This Row],[Amount]]*0.1</f>
        <v>8892.2000000000007</v>
      </c>
      <c r="H58" s="2" t="str">
        <f>TEXT(Table1[[#This Row],[Date]],"DD")</f>
        <v>03</v>
      </c>
      <c r="I58" s="2" t="str">
        <f>TEXT(Table1[[#This Row],[Date]],"MM")</f>
        <v>08</v>
      </c>
      <c r="J58" s="2" t="str">
        <f>TEXT(Table1[[#This Row],[Date]],"YYYY")</f>
        <v>2023</v>
      </c>
      <c r="K58" s="24" t="str">
        <f>IF(Table1[[#This Row],[Amount]]&gt;40000,"High","low")</f>
        <v>High</v>
      </c>
      <c r="L58" s="24" t="str">
        <f>IF(AND(Table1[[#This Row],[Region]]="North",Table1[[#This Row],[Amount]]&gt;50000),"achive","Not achive")</f>
        <v>Not achive</v>
      </c>
      <c r="M58" s="27"/>
    </row>
    <row r="59" spans="2:13" ht="14.25" customHeight="1">
      <c r="B59" s="4">
        <v>45299</v>
      </c>
      <c r="C59" s="2" t="s">
        <v>15</v>
      </c>
      <c r="D59" s="2" t="s">
        <v>23</v>
      </c>
      <c r="E59" s="2">
        <v>136</v>
      </c>
      <c r="F59" s="12">
        <v>79657</v>
      </c>
      <c r="G59" s="18">
        <f>Table1[[#This Row],[Amount]]*0.1</f>
        <v>7965.7000000000007</v>
      </c>
      <c r="H59" s="2" t="str">
        <f>TEXT(Table1[[#This Row],[Date]],"DD")</f>
        <v>08</v>
      </c>
      <c r="I59" s="2" t="str">
        <f>TEXT(Table1[[#This Row],[Date]],"MM")</f>
        <v>01</v>
      </c>
      <c r="J59" s="2" t="str">
        <f>TEXT(Table1[[#This Row],[Date]],"YYYY")</f>
        <v>2024</v>
      </c>
      <c r="K59" s="24" t="str">
        <f>IF(Table1[[#This Row],[Amount]]&gt;40000,"High","low")</f>
        <v>High</v>
      </c>
      <c r="L59" s="24" t="str">
        <f>IF(AND(Table1[[#This Row],[Region]]="North",Table1[[#This Row],[Amount]]&gt;50000),"achive","Not achive")</f>
        <v>Not achive</v>
      </c>
      <c r="M59" s="27"/>
    </row>
    <row r="60" spans="2:13" ht="14.25" customHeight="1">
      <c r="B60" s="4">
        <v>45026</v>
      </c>
      <c r="C60" s="2" t="s">
        <v>16</v>
      </c>
      <c r="D60" s="2" t="s">
        <v>23</v>
      </c>
      <c r="E60" s="2">
        <v>135</v>
      </c>
      <c r="F60" s="12">
        <v>11966</v>
      </c>
      <c r="G60" s="18">
        <f>Table1[[#This Row],[Amount]]*0.1</f>
        <v>1196.6000000000001</v>
      </c>
      <c r="H60" s="2" t="str">
        <f>TEXT(Table1[[#This Row],[Date]],"DD")</f>
        <v>10</v>
      </c>
      <c r="I60" s="2" t="str">
        <f>TEXT(Table1[[#This Row],[Date]],"MM")</f>
        <v>04</v>
      </c>
      <c r="J60" s="2" t="str">
        <f>TEXT(Table1[[#This Row],[Date]],"YYYY")</f>
        <v>2023</v>
      </c>
      <c r="K60" s="24" t="str">
        <f>IF(Table1[[#This Row],[Amount]]&gt;40000,"High","low")</f>
        <v>low</v>
      </c>
      <c r="L60" s="24" t="str">
        <f>IF(AND(Table1[[#This Row],[Region]]="North",Table1[[#This Row],[Amount]]&gt;50000),"achive","Not achive")</f>
        <v>Not achive</v>
      </c>
      <c r="M60" s="27"/>
    </row>
    <row r="61" spans="2:13" ht="14.25" customHeight="1">
      <c r="B61" s="4">
        <v>45240</v>
      </c>
      <c r="C61" s="2" t="s">
        <v>11</v>
      </c>
      <c r="D61" s="2" t="s">
        <v>23</v>
      </c>
      <c r="E61" s="2">
        <v>38</v>
      </c>
      <c r="F61" s="12">
        <v>54006</v>
      </c>
      <c r="G61" s="18">
        <f>Table1[[#This Row],[Amount]]*0.1</f>
        <v>5400.6</v>
      </c>
      <c r="H61" s="2" t="str">
        <f>TEXT(Table1[[#This Row],[Date]],"DD")</f>
        <v>10</v>
      </c>
      <c r="I61" s="2" t="str">
        <f>TEXT(Table1[[#This Row],[Date]],"MM")</f>
        <v>11</v>
      </c>
      <c r="J61" s="2" t="str">
        <f>TEXT(Table1[[#This Row],[Date]],"YYYY")</f>
        <v>2023</v>
      </c>
      <c r="K61" s="24" t="str">
        <f>IF(Table1[[#This Row],[Amount]]&gt;40000,"High","low")</f>
        <v>High</v>
      </c>
      <c r="L61" s="24" t="str">
        <f>IF(AND(Table1[[#This Row],[Region]]="North",Table1[[#This Row],[Amount]]&gt;50000),"achive","Not achive")</f>
        <v>achive</v>
      </c>
      <c r="M61" s="27"/>
    </row>
    <row r="62" spans="2:13" ht="14.25" customHeight="1">
      <c r="B62" s="4">
        <v>45402</v>
      </c>
      <c r="C62" s="2" t="s">
        <v>15</v>
      </c>
      <c r="D62" s="2" t="s">
        <v>23</v>
      </c>
      <c r="E62" s="2">
        <v>21</v>
      </c>
      <c r="F62" s="12">
        <v>4051</v>
      </c>
      <c r="G62" s="18">
        <f>Table1[[#This Row],[Amount]]*0.1</f>
        <v>405.1</v>
      </c>
      <c r="H62" s="2" t="str">
        <f>TEXT(Table1[[#This Row],[Date]],"DD")</f>
        <v>20</v>
      </c>
      <c r="I62" s="2" t="str">
        <f>TEXT(Table1[[#This Row],[Date]],"MM")</f>
        <v>04</v>
      </c>
      <c r="J62" s="2" t="str">
        <f>TEXT(Table1[[#This Row],[Date]],"YYYY")</f>
        <v>2024</v>
      </c>
      <c r="K62" s="24" t="str">
        <f>IF(Table1[[#This Row],[Amount]]&gt;40000,"High","low")</f>
        <v>low</v>
      </c>
      <c r="L62" s="24" t="str">
        <f>IF(AND(Table1[[#This Row],[Region]]="North",Table1[[#This Row],[Amount]]&gt;50000),"achive","Not achive")</f>
        <v>Not achive</v>
      </c>
      <c r="M62" s="27"/>
    </row>
    <row r="63" spans="2:13" ht="14.25" customHeight="1">
      <c r="B63" s="4">
        <v>45489</v>
      </c>
      <c r="C63" s="2" t="s">
        <v>15</v>
      </c>
      <c r="D63" s="2" t="s">
        <v>23</v>
      </c>
      <c r="E63" s="2">
        <v>97</v>
      </c>
      <c r="F63" s="12">
        <v>88142</v>
      </c>
      <c r="G63" s="18">
        <f>Table1[[#This Row],[Amount]]*0.1</f>
        <v>8814.2000000000007</v>
      </c>
      <c r="H63" s="2" t="str">
        <f>TEXT(Table1[[#This Row],[Date]],"DD")</f>
        <v>16</v>
      </c>
      <c r="I63" s="2" t="str">
        <f>TEXT(Table1[[#This Row],[Date]],"MM")</f>
        <v>07</v>
      </c>
      <c r="J63" s="2" t="str">
        <f>TEXT(Table1[[#This Row],[Date]],"YYYY")</f>
        <v>2024</v>
      </c>
      <c r="K63" s="24" t="str">
        <f>IF(Table1[[#This Row],[Amount]]&gt;40000,"High","low")</f>
        <v>High</v>
      </c>
      <c r="L63" s="24" t="str">
        <f>IF(AND(Table1[[#This Row],[Region]]="North",Table1[[#This Row],[Amount]]&gt;50000),"achive","Not achive")</f>
        <v>Not achive</v>
      </c>
      <c r="M63" s="27"/>
    </row>
    <row r="64" spans="2:13" ht="14.25" customHeight="1">
      <c r="B64" s="4">
        <v>45411</v>
      </c>
      <c r="C64" s="2" t="s">
        <v>11</v>
      </c>
      <c r="D64" s="2" t="s">
        <v>23</v>
      </c>
      <c r="E64" s="2">
        <v>61</v>
      </c>
      <c r="F64" s="12">
        <v>57179</v>
      </c>
      <c r="G64" s="18">
        <f>Table1[[#This Row],[Amount]]*0.1</f>
        <v>5717.9000000000005</v>
      </c>
      <c r="H64" s="2" t="str">
        <f>TEXT(Table1[[#This Row],[Date]],"DD")</f>
        <v>29</v>
      </c>
      <c r="I64" s="2" t="str">
        <f>TEXT(Table1[[#This Row],[Date]],"MM")</f>
        <v>04</v>
      </c>
      <c r="J64" s="2" t="str">
        <f>TEXT(Table1[[#This Row],[Date]],"YYYY")</f>
        <v>2024</v>
      </c>
      <c r="K64" s="24" t="str">
        <f>IF(Table1[[#This Row],[Amount]]&gt;40000,"High","low")</f>
        <v>High</v>
      </c>
      <c r="L64" s="24" t="str">
        <f>IF(AND(Table1[[#This Row],[Region]]="North",Table1[[#This Row],[Amount]]&gt;50000),"achive","Not achive")</f>
        <v>achive</v>
      </c>
      <c r="M64" s="27"/>
    </row>
    <row r="65" spans="2:13" ht="14.25" customHeight="1">
      <c r="B65" s="4">
        <v>45242</v>
      </c>
      <c r="C65" s="2" t="s">
        <v>11</v>
      </c>
      <c r="D65" s="2" t="s">
        <v>23</v>
      </c>
      <c r="E65" s="2">
        <v>192</v>
      </c>
      <c r="F65" s="12">
        <v>73615</v>
      </c>
      <c r="G65" s="18">
        <f>Table1[[#This Row],[Amount]]*0.1</f>
        <v>7361.5</v>
      </c>
      <c r="H65" s="2" t="str">
        <f>TEXT(Table1[[#This Row],[Date]],"DD")</f>
        <v>12</v>
      </c>
      <c r="I65" s="2" t="str">
        <f>TEXT(Table1[[#This Row],[Date]],"MM")</f>
        <v>11</v>
      </c>
      <c r="J65" s="2" t="str">
        <f>TEXT(Table1[[#This Row],[Date]],"YYYY")</f>
        <v>2023</v>
      </c>
      <c r="K65" s="24" t="str">
        <f>IF(Table1[[#This Row],[Amount]]&gt;40000,"High","low")</f>
        <v>High</v>
      </c>
      <c r="L65" s="24" t="str">
        <f>IF(AND(Table1[[#This Row],[Region]]="North",Table1[[#This Row],[Amount]]&gt;50000),"achive","Not achive")</f>
        <v>achive</v>
      </c>
      <c r="M65" s="27"/>
    </row>
    <row r="66" spans="2:13" ht="14.25" customHeight="1">
      <c r="B66" s="4">
        <v>45491</v>
      </c>
      <c r="C66" s="2" t="s">
        <v>16</v>
      </c>
      <c r="D66" s="2" t="s">
        <v>23</v>
      </c>
      <c r="E66" s="2">
        <v>158</v>
      </c>
      <c r="F66" s="12">
        <v>84613</v>
      </c>
      <c r="G66" s="18">
        <f>Table1[[#This Row],[Amount]]*0.1</f>
        <v>8461.3000000000011</v>
      </c>
      <c r="H66" s="2" t="str">
        <f>TEXT(Table1[[#This Row],[Date]],"DD")</f>
        <v>18</v>
      </c>
      <c r="I66" s="2" t="str">
        <f>TEXT(Table1[[#This Row],[Date]],"MM")</f>
        <v>07</v>
      </c>
      <c r="J66" s="2" t="str">
        <f>TEXT(Table1[[#This Row],[Date]],"YYYY")</f>
        <v>2024</v>
      </c>
      <c r="K66" s="24" t="str">
        <f>IF(Table1[[#This Row],[Amount]]&gt;40000,"High","low")</f>
        <v>High</v>
      </c>
      <c r="L66" s="24" t="str">
        <f>IF(AND(Table1[[#This Row],[Region]]="North",Table1[[#This Row],[Amount]]&gt;50000),"achive","Not achive")</f>
        <v>Not achive</v>
      </c>
      <c r="M66" s="27"/>
    </row>
    <row r="67" spans="2:13" ht="14.25" customHeight="1">
      <c r="B67" s="4">
        <v>45266</v>
      </c>
      <c r="C67" s="2" t="s">
        <v>17</v>
      </c>
      <c r="D67" s="2" t="s">
        <v>23</v>
      </c>
      <c r="E67" s="2">
        <v>46</v>
      </c>
      <c r="F67" s="12">
        <v>92794</v>
      </c>
      <c r="G67" s="18">
        <f>Table1[[#This Row],[Amount]]*0.1</f>
        <v>9279.4</v>
      </c>
      <c r="H67" s="2" t="str">
        <f>TEXT(Table1[[#This Row],[Date]],"DD")</f>
        <v>06</v>
      </c>
      <c r="I67" s="2" t="str">
        <f>TEXT(Table1[[#This Row],[Date]],"MM")</f>
        <v>12</v>
      </c>
      <c r="J67" s="2" t="str">
        <f>TEXT(Table1[[#This Row],[Date]],"YYYY")</f>
        <v>2023</v>
      </c>
      <c r="K67" s="24" t="str">
        <f>IF(Table1[[#This Row],[Amount]]&gt;40000,"High","low")</f>
        <v>High</v>
      </c>
      <c r="L67" s="24" t="str">
        <f>IF(AND(Table1[[#This Row],[Region]]="North",Table1[[#This Row],[Amount]]&gt;50000),"achive","Not achive")</f>
        <v>Not achive</v>
      </c>
      <c r="M67" s="27"/>
    </row>
    <row r="68" spans="2:13" ht="14.25" customHeight="1">
      <c r="B68" s="4">
        <v>45293</v>
      </c>
      <c r="C68" s="2" t="s">
        <v>15</v>
      </c>
      <c r="D68" s="2" t="s">
        <v>23</v>
      </c>
      <c r="E68" s="2">
        <v>6</v>
      </c>
      <c r="F68" s="12">
        <v>74847</v>
      </c>
      <c r="G68" s="18">
        <f>Table1[[#This Row],[Amount]]*0.1</f>
        <v>7484.7000000000007</v>
      </c>
      <c r="H68" s="2" t="str">
        <f>TEXT(Table1[[#This Row],[Date]],"DD")</f>
        <v>02</v>
      </c>
      <c r="I68" s="2" t="str">
        <f>TEXT(Table1[[#This Row],[Date]],"MM")</f>
        <v>01</v>
      </c>
      <c r="J68" s="2" t="str">
        <f>TEXT(Table1[[#This Row],[Date]],"YYYY")</f>
        <v>2024</v>
      </c>
      <c r="K68" s="24" t="str">
        <f>IF(Table1[[#This Row],[Amount]]&gt;40000,"High","low")</f>
        <v>High</v>
      </c>
      <c r="L68" s="24" t="str">
        <f>IF(AND(Table1[[#This Row],[Region]]="North",Table1[[#This Row],[Amount]]&gt;50000),"achive","Not achive")</f>
        <v>Not achive</v>
      </c>
      <c r="M68" s="27"/>
    </row>
    <row r="69" spans="2:13" ht="14.25" customHeight="1">
      <c r="B69" s="4">
        <v>45132</v>
      </c>
      <c r="C69" s="2" t="s">
        <v>11</v>
      </c>
      <c r="D69" s="2" t="s">
        <v>23</v>
      </c>
      <c r="E69" s="2">
        <v>93</v>
      </c>
      <c r="F69" s="12">
        <v>91852</v>
      </c>
      <c r="G69" s="18">
        <f>Table1[[#This Row],[Amount]]*0.1</f>
        <v>9185.2000000000007</v>
      </c>
      <c r="H69" s="2" t="str">
        <f>TEXT(Table1[[#This Row],[Date]],"DD")</f>
        <v>25</v>
      </c>
      <c r="I69" s="2" t="str">
        <f>TEXT(Table1[[#This Row],[Date]],"MM")</f>
        <v>07</v>
      </c>
      <c r="J69" s="2" t="str">
        <f>TEXT(Table1[[#This Row],[Date]],"YYYY")</f>
        <v>2023</v>
      </c>
      <c r="K69" s="24" t="str">
        <f>IF(Table1[[#This Row],[Amount]]&gt;40000,"High","low")</f>
        <v>High</v>
      </c>
      <c r="L69" s="24" t="str">
        <f>IF(AND(Table1[[#This Row],[Region]]="North",Table1[[#This Row],[Amount]]&gt;50000),"achive","Not achive")</f>
        <v>achive</v>
      </c>
      <c r="M69" s="27"/>
    </row>
    <row r="70" spans="2:13" ht="14.25" customHeight="1">
      <c r="B70" s="4">
        <v>45007</v>
      </c>
      <c r="C70" s="2" t="s">
        <v>16</v>
      </c>
      <c r="D70" s="2" t="s">
        <v>23</v>
      </c>
      <c r="E70" s="2">
        <v>46</v>
      </c>
      <c r="F70" s="12">
        <v>33217</v>
      </c>
      <c r="G70" s="18">
        <f>Table1[[#This Row],[Amount]]*0.1</f>
        <v>3321.7000000000003</v>
      </c>
      <c r="H70" s="2" t="str">
        <f>TEXT(Table1[[#This Row],[Date]],"DD")</f>
        <v>22</v>
      </c>
      <c r="I70" s="2" t="str">
        <f>TEXT(Table1[[#This Row],[Date]],"MM")</f>
        <v>03</v>
      </c>
      <c r="J70" s="2" t="str">
        <f>TEXT(Table1[[#This Row],[Date]],"YYYY")</f>
        <v>2023</v>
      </c>
      <c r="K70" s="24" t="str">
        <f>IF(Table1[[#This Row],[Amount]]&gt;40000,"High","low")</f>
        <v>low</v>
      </c>
      <c r="L70" s="24" t="str">
        <f>IF(AND(Table1[[#This Row],[Region]]="North",Table1[[#This Row],[Amount]]&gt;50000),"achive","Not achive")</f>
        <v>Not achive</v>
      </c>
      <c r="M70" s="27"/>
    </row>
    <row r="71" spans="2:13" ht="14.25" customHeight="1">
      <c r="B71" s="4">
        <v>45032</v>
      </c>
      <c r="C71" s="2" t="s">
        <v>17</v>
      </c>
      <c r="D71" s="2" t="s">
        <v>23</v>
      </c>
      <c r="E71" s="2">
        <v>191</v>
      </c>
      <c r="F71" s="12">
        <v>75740</v>
      </c>
      <c r="G71" s="18">
        <f>Table1[[#This Row],[Amount]]*0.1</f>
        <v>7574</v>
      </c>
      <c r="H71" s="2" t="str">
        <f>TEXT(Table1[[#This Row],[Date]],"DD")</f>
        <v>16</v>
      </c>
      <c r="I71" s="2" t="str">
        <f>TEXT(Table1[[#This Row],[Date]],"MM")</f>
        <v>04</v>
      </c>
      <c r="J71" s="2" t="str">
        <f>TEXT(Table1[[#This Row],[Date]],"YYYY")</f>
        <v>2023</v>
      </c>
      <c r="K71" s="24" t="str">
        <f>IF(Table1[[#This Row],[Amount]]&gt;40000,"High","low")</f>
        <v>High</v>
      </c>
      <c r="L71" s="24" t="str">
        <f>IF(AND(Table1[[#This Row],[Region]]="North",Table1[[#This Row],[Amount]]&gt;50000),"achive","Not achive")</f>
        <v>Not achive</v>
      </c>
      <c r="M71" s="27"/>
    </row>
    <row r="72" spans="2:13" ht="14.25" customHeight="1">
      <c r="B72" s="4">
        <v>45196</v>
      </c>
      <c r="C72" s="2" t="s">
        <v>11</v>
      </c>
      <c r="D72" s="2" t="s">
        <v>23</v>
      </c>
      <c r="E72" s="2">
        <v>25</v>
      </c>
      <c r="F72" s="12">
        <v>6237</v>
      </c>
      <c r="G72" s="18">
        <f>Table1[[#This Row],[Amount]]*0.1</f>
        <v>623.70000000000005</v>
      </c>
      <c r="H72" s="2" t="str">
        <f>TEXT(Table1[[#This Row],[Date]],"DD")</f>
        <v>27</v>
      </c>
      <c r="I72" s="2" t="str">
        <f>TEXT(Table1[[#This Row],[Date]],"MM")</f>
        <v>09</v>
      </c>
      <c r="J72" s="2" t="str">
        <f>TEXT(Table1[[#This Row],[Date]],"YYYY")</f>
        <v>2023</v>
      </c>
      <c r="K72" s="24" t="str">
        <f>IF(Table1[[#This Row],[Amount]]&gt;40000,"High","low")</f>
        <v>low</v>
      </c>
      <c r="L72" s="24" t="str">
        <f>IF(AND(Table1[[#This Row],[Region]]="North",Table1[[#This Row],[Amount]]&gt;50000),"achive","Not achive")</f>
        <v>Not achive</v>
      </c>
      <c r="M72" s="27"/>
    </row>
    <row r="73" spans="2:13" ht="14.25" customHeight="1">
      <c r="B73" s="4">
        <v>45388</v>
      </c>
      <c r="C73" s="2" t="s">
        <v>16</v>
      </c>
      <c r="D73" s="2" t="s">
        <v>23</v>
      </c>
      <c r="E73" s="2">
        <v>67</v>
      </c>
      <c r="F73" s="12">
        <v>57556</v>
      </c>
      <c r="G73" s="18">
        <f>Table1[[#This Row],[Amount]]*0.1</f>
        <v>5755.6</v>
      </c>
      <c r="H73" s="2" t="str">
        <f>TEXT(Table1[[#This Row],[Date]],"DD")</f>
        <v>06</v>
      </c>
      <c r="I73" s="2" t="str">
        <f>TEXT(Table1[[#This Row],[Date]],"MM")</f>
        <v>04</v>
      </c>
      <c r="J73" s="2" t="str">
        <f>TEXT(Table1[[#This Row],[Date]],"YYYY")</f>
        <v>2024</v>
      </c>
      <c r="K73" s="24" t="str">
        <f>IF(Table1[[#This Row],[Amount]]&gt;40000,"High","low")</f>
        <v>High</v>
      </c>
      <c r="L73" s="24" t="str">
        <f>IF(AND(Table1[[#This Row],[Region]]="North",Table1[[#This Row],[Amount]]&gt;50000),"achive","Not achive")</f>
        <v>Not achive</v>
      </c>
      <c r="M73" s="27"/>
    </row>
    <row r="74" spans="2:13" ht="14.25" customHeight="1">
      <c r="B74" s="4">
        <v>45178</v>
      </c>
      <c r="C74" s="2" t="s">
        <v>16</v>
      </c>
      <c r="D74" s="2" t="s">
        <v>23</v>
      </c>
      <c r="E74" s="2">
        <v>104</v>
      </c>
      <c r="F74" s="12">
        <v>4343</v>
      </c>
      <c r="G74" s="18">
        <f>Table1[[#This Row],[Amount]]*0.1</f>
        <v>434.3</v>
      </c>
      <c r="H74" s="2" t="str">
        <f>TEXT(Table1[[#This Row],[Date]],"DD")</f>
        <v>09</v>
      </c>
      <c r="I74" s="2" t="str">
        <f>TEXT(Table1[[#This Row],[Date]],"MM")</f>
        <v>09</v>
      </c>
      <c r="J74" s="2" t="str">
        <f>TEXT(Table1[[#This Row],[Date]],"YYYY")</f>
        <v>2023</v>
      </c>
      <c r="K74" s="24" t="str">
        <f>IF(Table1[[#This Row],[Amount]]&gt;40000,"High","low")</f>
        <v>low</v>
      </c>
      <c r="L74" s="24" t="str">
        <f>IF(AND(Table1[[#This Row],[Region]]="North",Table1[[#This Row],[Amount]]&gt;50000),"achive","Not achive")</f>
        <v>Not achive</v>
      </c>
      <c r="M74" s="27"/>
    </row>
    <row r="75" spans="2:13" ht="14.25" customHeight="1">
      <c r="B75" s="4">
        <v>45143</v>
      </c>
      <c r="C75" s="2" t="s">
        <v>17</v>
      </c>
      <c r="D75" s="2" t="s">
        <v>23</v>
      </c>
      <c r="E75" s="2">
        <v>32</v>
      </c>
      <c r="F75" s="12">
        <v>10662</v>
      </c>
      <c r="G75" s="18">
        <f>Table1[[#This Row],[Amount]]*0.1</f>
        <v>1066.2</v>
      </c>
      <c r="H75" s="2" t="str">
        <f>TEXT(Table1[[#This Row],[Date]],"DD")</f>
        <v>05</v>
      </c>
      <c r="I75" s="2" t="str">
        <f>TEXT(Table1[[#This Row],[Date]],"MM")</f>
        <v>08</v>
      </c>
      <c r="J75" s="2" t="str">
        <f>TEXT(Table1[[#This Row],[Date]],"YYYY")</f>
        <v>2023</v>
      </c>
      <c r="K75" s="24" t="str">
        <f>IF(Table1[[#This Row],[Amount]]&gt;40000,"High","low")</f>
        <v>low</v>
      </c>
      <c r="L75" s="24" t="str">
        <f>IF(AND(Table1[[#This Row],[Region]]="North",Table1[[#This Row],[Amount]]&gt;50000),"achive","Not achive")</f>
        <v>Not achive</v>
      </c>
      <c r="M75" s="27"/>
    </row>
    <row r="76" spans="2:13" ht="14.25" customHeight="1">
      <c r="B76" s="4">
        <v>45270</v>
      </c>
      <c r="C76" s="2" t="s">
        <v>17</v>
      </c>
      <c r="D76" s="2" t="s">
        <v>23</v>
      </c>
      <c r="E76" s="2">
        <v>104</v>
      </c>
      <c r="F76" s="12">
        <v>85664</v>
      </c>
      <c r="G76" s="18">
        <f>Table1[[#This Row],[Amount]]*0.1</f>
        <v>8566.4</v>
      </c>
      <c r="H76" s="2" t="str">
        <f>TEXT(Table1[[#This Row],[Date]],"DD")</f>
        <v>10</v>
      </c>
      <c r="I76" s="2" t="str">
        <f>TEXT(Table1[[#This Row],[Date]],"MM")</f>
        <v>12</v>
      </c>
      <c r="J76" s="2" t="str">
        <f>TEXT(Table1[[#This Row],[Date]],"YYYY")</f>
        <v>2023</v>
      </c>
      <c r="K76" s="24" t="str">
        <f>IF(Table1[[#This Row],[Amount]]&gt;40000,"High","low")</f>
        <v>High</v>
      </c>
      <c r="L76" s="24" t="str">
        <f>IF(AND(Table1[[#This Row],[Region]]="North",Table1[[#This Row],[Amount]]&gt;50000),"achive","Not achive")</f>
        <v>Not achive</v>
      </c>
      <c r="M76" s="27"/>
    </row>
    <row r="77" spans="2:13" ht="14.25" customHeight="1">
      <c r="B77" s="4">
        <v>45398</v>
      </c>
      <c r="C77" s="2" t="s">
        <v>11</v>
      </c>
      <c r="D77" s="2" t="s">
        <v>23</v>
      </c>
      <c r="E77" s="2">
        <v>137</v>
      </c>
      <c r="F77" s="12">
        <v>62389</v>
      </c>
      <c r="G77" s="18">
        <f>Table1[[#This Row],[Amount]]*0.1</f>
        <v>6238.9000000000005</v>
      </c>
      <c r="H77" s="2" t="str">
        <f>TEXT(Table1[[#This Row],[Date]],"DD")</f>
        <v>16</v>
      </c>
      <c r="I77" s="2" t="str">
        <f>TEXT(Table1[[#This Row],[Date]],"MM")</f>
        <v>04</v>
      </c>
      <c r="J77" s="2" t="str">
        <f>TEXT(Table1[[#This Row],[Date]],"YYYY")</f>
        <v>2024</v>
      </c>
      <c r="K77" s="24" t="str">
        <f>IF(Table1[[#This Row],[Amount]]&gt;40000,"High","low")</f>
        <v>High</v>
      </c>
      <c r="L77" s="24" t="str">
        <f>IF(AND(Table1[[#This Row],[Region]]="North",Table1[[#This Row],[Amount]]&gt;50000),"achive","Not achive")</f>
        <v>achive</v>
      </c>
      <c r="M77" s="27"/>
    </row>
    <row r="78" spans="2:13" ht="14.25" customHeight="1">
      <c r="B78" s="4">
        <v>45425</v>
      </c>
      <c r="C78" s="2" t="s">
        <v>17</v>
      </c>
      <c r="D78" s="2" t="s">
        <v>23</v>
      </c>
      <c r="E78" s="2">
        <v>39</v>
      </c>
      <c r="F78" s="12">
        <v>45078</v>
      </c>
      <c r="G78" s="18">
        <f>Table1[[#This Row],[Amount]]*0.1</f>
        <v>4507.8</v>
      </c>
      <c r="H78" s="2" t="str">
        <f>TEXT(Table1[[#This Row],[Date]],"DD")</f>
        <v>13</v>
      </c>
      <c r="I78" s="2" t="str">
        <f>TEXT(Table1[[#This Row],[Date]],"MM")</f>
        <v>05</v>
      </c>
      <c r="J78" s="2" t="str">
        <f>TEXT(Table1[[#This Row],[Date]],"YYYY")</f>
        <v>2024</v>
      </c>
      <c r="K78" s="24" t="str">
        <f>IF(Table1[[#This Row],[Amount]]&gt;40000,"High","low")</f>
        <v>High</v>
      </c>
      <c r="L78" s="24" t="str">
        <f>IF(AND(Table1[[#This Row],[Region]]="North",Table1[[#This Row],[Amount]]&gt;50000),"achive","Not achive")</f>
        <v>Not achive</v>
      </c>
      <c r="M78" s="27"/>
    </row>
    <row r="79" spans="2:13" ht="14.25" customHeight="1">
      <c r="B79" s="4">
        <v>45519</v>
      </c>
      <c r="C79" s="2" t="s">
        <v>11</v>
      </c>
      <c r="D79" s="2" t="s">
        <v>23</v>
      </c>
      <c r="E79" s="2">
        <v>170</v>
      </c>
      <c r="F79" s="12">
        <v>79832</v>
      </c>
      <c r="G79" s="18">
        <f>Table1[[#This Row],[Amount]]*0.1</f>
        <v>7983.2000000000007</v>
      </c>
      <c r="H79" s="2" t="str">
        <f>TEXT(Table1[[#This Row],[Date]],"DD")</f>
        <v>15</v>
      </c>
      <c r="I79" s="2" t="str">
        <f>TEXT(Table1[[#This Row],[Date]],"MM")</f>
        <v>08</v>
      </c>
      <c r="J79" s="2" t="str">
        <f>TEXT(Table1[[#This Row],[Date]],"YYYY")</f>
        <v>2024</v>
      </c>
      <c r="K79" s="24" t="str">
        <f>IF(Table1[[#This Row],[Amount]]&gt;40000,"High","low")</f>
        <v>High</v>
      </c>
      <c r="L79" s="24" t="str">
        <f>IF(AND(Table1[[#This Row],[Region]]="North",Table1[[#This Row],[Amount]]&gt;50000),"achive","Not achive")</f>
        <v>achive</v>
      </c>
      <c r="M79" s="27"/>
    </row>
    <row r="80" spans="2:13" ht="14.25" customHeight="1">
      <c r="B80" s="4">
        <v>45033</v>
      </c>
      <c r="C80" s="2" t="s">
        <v>16</v>
      </c>
      <c r="D80" s="2" t="s">
        <v>24</v>
      </c>
      <c r="E80" s="2">
        <v>169</v>
      </c>
      <c r="F80" s="12">
        <v>78575</v>
      </c>
      <c r="G80" s="18">
        <f>Table1[[#This Row],[Amount]]*0.1</f>
        <v>7857.5</v>
      </c>
      <c r="H80" s="2" t="str">
        <f>TEXT(Table1[[#This Row],[Date]],"DD")</f>
        <v>17</v>
      </c>
      <c r="I80" s="2" t="str">
        <f>TEXT(Table1[[#This Row],[Date]],"MM")</f>
        <v>04</v>
      </c>
      <c r="J80" s="2" t="str">
        <f>TEXT(Table1[[#This Row],[Date]],"YYYY")</f>
        <v>2023</v>
      </c>
      <c r="K80" s="24" t="str">
        <f>IF(Table1[[#This Row],[Amount]]&gt;40000,"High","low")</f>
        <v>High</v>
      </c>
      <c r="L80" s="24" t="str">
        <f>IF(AND(Table1[[#This Row],[Region]]="North",Table1[[#This Row],[Amount]]&gt;50000),"achive","Not achive")</f>
        <v>Not achive</v>
      </c>
      <c r="M80" s="27"/>
    </row>
    <row r="81" spans="2:13" ht="14.25" customHeight="1">
      <c r="B81" s="4">
        <v>45048</v>
      </c>
      <c r="C81" s="2" t="s">
        <v>16</v>
      </c>
      <c r="D81" s="2" t="s">
        <v>24</v>
      </c>
      <c r="E81" s="2">
        <v>33</v>
      </c>
      <c r="F81" s="12">
        <v>77429</v>
      </c>
      <c r="G81" s="18">
        <f>Table1[[#This Row],[Amount]]*0.1</f>
        <v>7742.9000000000005</v>
      </c>
      <c r="H81" s="2" t="str">
        <f>TEXT(Table1[[#This Row],[Date]],"DD")</f>
        <v>02</v>
      </c>
      <c r="I81" s="2" t="str">
        <f>TEXT(Table1[[#This Row],[Date]],"MM")</f>
        <v>05</v>
      </c>
      <c r="J81" s="2" t="str">
        <f>TEXT(Table1[[#This Row],[Date]],"YYYY")</f>
        <v>2023</v>
      </c>
      <c r="K81" s="24" t="str">
        <f>IF(Table1[[#This Row],[Amount]]&gt;40000,"High","low")</f>
        <v>High</v>
      </c>
      <c r="L81" s="24" t="str">
        <f>IF(AND(Table1[[#This Row],[Region]]="North",Table1[[#This Row],[Amount]]&gt;50000),"achive","Not achive")</f>
        <v>Not achive</v>
      </c>
      <c r="M81" s="27"/>
    </row>
    <row r="82" spans="2:13" ht="14.25" customHeight="1">
      <c r="B82" s="4">
        <v>45235</v>
      </c>
      <c r="C82" s="2" t="s">
        <v>17</v>
      </c>
      <c r="D82" s="2" t="s">
        <v>24</v>
      </c>
      <c r="E82" s="2">
        <v>145</v>
      </c>
      <c r="F82" s="12">
        <v>53921</v>
      </c>
      <c r="G82" s="18">
        <f>Table1[[#This Row],[Amount]]*0.1</f>
        <v>5392.1</v>
      </c>
      <c r="H82" s="2" t="str">
        <f>TEXT(Table1[[#This Row],[Date]],"DD")</f>
        <v>05</v>
      </c>
      <c r="I82" s="2" t="str">
        <f>TEXT(Table1[[#This Row],[Date]],"MM")</f>
        <v>11</v>
      </c>
      <c r="J82" s="2" t="str">
        <f>TEXT(Table1[[#This Row],[Date]],"YYYY")</f>
        <v>2023</v>
      </c>
      <c r="K82" s="24" t="str">
        <f>IF(Table1[[#This Row],[Amount]]&gt;40000,"High","low")</f>
        <v>High</v>
      </c>
      <c r="L82" s="24" t="str">
        <f>IF(AND(Table1[[#This Row],[Region]]="North",Table1[[#This Row],[Amount]]&gt;50000),"achive","Not achive")</f>
        <v>Not achive</v>
      </c>
      <c r="M82" s="27"/>
    </row>
    <row r="83" spans="2:13" ht="14.25" customHeight="1">
      <c r="B83" s="4">
        <v>45118</v>
      </c>
      <c r="C83" s="2" t="s">
        <v>11</v>
      </c>
      <c r="D83" s="2" t="s">
        <v>24</v>
      </c>
      <c r="E83" s="2">
        <v>115</v>
      </c>
      <c r="F83" s="12">
        <v>97825</v>
      </c>
      <c r="G83" s="18">
        <f>Table1[[#This Row],[Amount]]*0.1</f>
        <v>9782.5</v>
      </c>
      <c r="H83" s="2" t="str">
        <f>TEXT(Table1[[#This Row],[Date]],"DD")</f>
        <v>11</v>
      </c>
      <c r="I83" s="2" t="str">
        <f>TEXT(Table1[[#This Row],[Date]],"MM")</f>
        <v>07</v>
      </c>
      <c r="J83" s="2" t="str">
        <f>TEXT(Table1[[#This Row],[Date]],"YYYY")</f>
        <v>2023</v>
      </c>
      <c r="K83" s="24" t="str">
        <f>IF(Table1[[#This Row],[Amount]]&gt;40000,"High","low")</f>
        <v>High</v>
      </c>
      <c r="L83" s="24" t="str">
        <f>IF(AND(Table1[[#This Row],[Region]]="North",Table1[[#This Row],[Amount]]&gt;50000),"achive","Not achive")</f>
        <v>achive</v>
      </c>
      <c r="M83" s="27"/>
    </row>
    <row r="84" spans="2:13" ht="14.25" customHeight="1">
      <c r="B84" s="4">
        <v>45401</v>
      </c>
      <c r="C84" s="2" t="s">
        <v>15</v>
      </c>
      <c r="D84" s="2" t="s">
        <v>24</v>
      </c>
      <c r="E84" s="2">
        <v>8</v>
      </c>
      <c r="F84" s="12">
        <v>93772</v>
      </c>
      <c r="G84" s="18">
        <f>Table1[[#This Row],[Amount]]*0.1</f>
        <v>9377.2000000000007</v>
      </c>
      <c r="H84" s="2" t="str">
        <f>TEXT(Table1[[#This Row],[Date]],"DD")</f>
        <v>19</v>
      </c>
      <c r="I84" s="2" t="str">
        <f>TEXT(Table1[[#This Row],[Date]],"MM")</f>
        <v>04</v>
      </c>
      <c r="J84" s="2" t="str">
        <f>TEXT(Table1[[#This Row],[Date]],"YYYY")</f>
        <v>2024</v>
      </c>
      <c r="K84" s="24" t="str">
        <f>IF(Table1[[#This Row],[Amount]]&gt;40000,"High","low")</f>
        <v>High</v>
      </c>
      <c r="L84" s="24" t="str">
        <f>IF(AND(Table1[[#This Row],[Region]]="North",Table1[[#This Row],[Amount]]&gt;50000),"achive","Not achive")</f>
        <v>Not achive</v>
      </c>
      <c r="M84" s="27"/>
    </row>
    <row r="85" spans="2:13" ht="14.25" customHeight="1">
      <c r="B85" s="4">
        <v>45493</v>
      </c>
      <c r="C85" s="2" t="s">
        <v>15</v>
      </c>
      <c r="D85" s="2" t="s">
        <v>24</v>
      </c>
      <c r="E85" s="2">
        <v>28</v>
      </c>
      <c r="F85" s="12">
        <v>88235</v>
      </c>
      <c r="G85" s="18">
        <f>Table1[[#This Row],[Amount]]*0.1</f>
        <v>8823.5</v>
      </c>
      <c r="H85" s="2" t="str">
        <f>TEXT(Table1[[#This Row],[Date]],"DD")</f>
        <v>20</v>
      </c>
      <c r="I85" s="2" t="str">
        <f>TEXT(Table1[[#This Row],[Date]],"MM")</f>
        <v>07</v>
      </c>
      <c r="J85" s="2" t="str">
        <f>TEXT(Table1[[#This Row],[Date]],"YYYY")</f>
        <v>2024</v>
      </c>
      <c r="K85" s="24" t="str">
        <f>IF(Table1[[#This Row],[Amount]]&gt;40000,"High","low")</f>
        <v>High</v>
      </c>
      <c r="L85" s="24" t="str">
        <f>IF(AND(Table1[[#This Row],[Region]]="North",Table1[[#This Row],[Amount]]&gt;50000),"achive","Not achive")</f>
        <v>Not achive</v>
      </c>
      <c r="M85" s="27"/>
    </row>
    <row r="86" spans="2:13" ht="14.25" customHeight="1">
      <c r="B86" s="4">
        <v>45170</v>
      </c>
      <c r="C86" s="2" t="s">
        <v>17</v>
      </c>
      <c r="D86" s="2" t="s">
        <v>24</v>
      </c>
      <c r="E86" s="2">
        <v>111</v>
      </c>
      <c r="F86" s="12">
        <v>55021</v>
      </c>
      <c r="G86" s="18">
        <f>Table1[[#This Row],[Amount]]*0.1</f>
        <v>5502.1</v>
      </c>
      <c r="H86" s="2" t="str">
        <f>TEXT(Table1[[#This Row],[Date]],"DD")</f>
        <v>01</v>
      </c>
      <c r="I86" s="2" t="str">
        <f>TEXT(Table1[[#This Row],[Date]],"MM")</f>
        <v>09</v>
      </c>
      <c r="J86" s="2" t="str">
        <f>TEXT(Table1[[#This Row],[Date]],"YYYY")</f>
        <v>2023</v>
      </c>
      <c r="K86" s="24" t="str">
        <f>IF(Table1[[#This Row],[Amount]]&gt;40000,"High","low")</f>
        <v>High</v>
      </c>
      <c r="L86" s="24" t="str">
        <f>IF(AND(Table1[[#This Row],[Region]]="North",Table1[[#This Row],[Amount]]&gt;50000),"achive","Not achive")</f>
        <v>Not achive</v>
      </c>
      <c r="M86" s="27"/>
    </row>
    <row r="87" spans="2:13" ht="14.25" customHeight="1">
      <c r="B87" s="4">
        <v>45093</v>
      </c>
      <c r="C87" s="2" t="s">
        <v>15</v>
      </c>
      <c r="D87" s="2" t="s">
        <v>24</v>
      </c>
      <c r="E87" s="2">
        <v>147</v>
      </c>
      <c r="F87" s="12">
        <v>70678</v>
      </c>
      <c r="G87" s="18">
        <f>Table1[[#This Row],[Amount]]*0.1</f>
        <v>7067.8</v>
      </c>
      <c r="H87" s="2" t="str">
        <f>TEXT(Table1[[#This Row],[Date]],"DD")</f>
        <v>16</v>
      </c>
      <c r="I87" s="2" t="str">
        <f>TEXT(Table1[[#This Row],[Date]],"MM")</f>
        <v>06</v>
      </c>
      <c r="J87" s="2" t="str">
        <f>TEXT(Table1[[#This Row],[Date]],"YYYY")</f>
        <v>2023</v>
      </c>
      <c r="K87" s="24" t="str">
        <f>IF(Table1[[#This Row],[Amount]]&gt;40000,"High","low")</f>
        <v>High</v>
      </c>
      <c r="L87" s="24" t="str">
        <f>IF(AND(Table1[[#This Row],[Region]]="North",Table1[[#This Row],[Amount]]&gt;50000),"achive","Not achive")</f>
        <v>Not achive</v>
      </c>
      <c r="M87" s="27"/>
    </row>
    <row r="88" spans="2:13" ht="14.25" customHeight="1">
      <c r="B88" s="4">
        <v>44940</v>
      </c>
      <c r="C88" s="2" t="s">
        <v>16</v>
      </c>
      <c r="D88" s="2" t="s">
        <v>24</v>
      </c>
      <c r="E88" s="2">
        <v>49</v>
      </c>
      <c r="F88" s="12">
        <v>74523</v>
      </c>
      <c r="G88" s="18">
        <f>Table1[[#This Row],[Amount]]*0.1</f>
        <v>7452.3</v>
      </c>
      <c r="H88" s="2" t="str">
        <f>TEXT(Table1[[#This Row],[Date]],"DD")</f>
        <v>14</v>
      </c>
      <c r="I88" s="2" t="str">
        <f>TEXT(Table1[[#This Row],[Date]],"MM")</f>
        <v>01</v>
      </c>
      <c r="J88" s="2" t="str">
        <f>TEXT(Table1[[#This Row],[Date]],"YYYY")</f>
        <v>2023</v>
      </c>
      <c r="K88" s="24" t="str">
        <f>IF(Table1[[#This Row],[Amount]]&gt;40000,"High","low")</f>
        <v>High</v>
      </c>
      <c r="L88" s="24" t="str">
        <f>IF(AND(Table1[[#This Row],[Region]]="North",Table1[[#This Row],[Amount]]&gt;50000),"achive","Not achive")</f>
        <v>Not achive</v>
      </c>
      <c r="M88" s="27"/>
    </row>
    <row r="89" spans="2:13" ht="14.25" customHeight="1">
      <c r="B89" s="4">
        <v>45272</v>
      </c>
      <c r="C89" s="2" t="s">
        <v>16</v>
      </c>
      <c r="D89" s="2" t="s">
        <v>24</v>
      </c>
      <c r="E89" s="2">
        <v>172</v>
      </c>
      <c r="F89" s="12">
        <v>18019</v>
      </c>
      <c r="G89" s="18">
        <f>Table1[[#This Row],[Amount]]*0.1</f>
        <v>1801.9</v>
      </c>
      <c r="H89" s="2" t="str">
        <f>TEXT(Table1[[#This Row],[Date]],"DD")</f>
        <v>12</v>
      </c>
      <c r="I89" s="2" t="str">
        <f>TEXT(Table1[[#This Row],[Date]],"MM")</f>
        <v>12</v>
      </c>
      <c r="J89" s="2" t="str">
        <f>TEXT(Table1[[#This Row],[Date]],"YYYY")</f>
        <v>2023</v>
      </c>
      <c r="K89" s="24" t="str">
        <f>IF(Table1[[#This Row],[Amount]]&gt;40000,"High","low")</f>
        <v>low</v>
      </c>
      <c r="L89" s="24" t="str">
        <f>IF(AND(Table1[[#This Row],[Region]]="North",Table1[[#This Row],[Amount]]&gt;50000),"achive","Not achive")</f>
        <v>Not achive</v>
      </c>
      <c r="M89" s="27"/>
    </row>
    <row r="90" spans="2:13" ht="14.25" customHeight="1">
      <c r="B90" s="4">
        <v>45018</v>
      </c>
      <c r="C90" s="2" t="s">
        <v>11</v>
      </c>
      <c r="D90" s="2" t="s">
        <v>24</v>
      </c>
      <c r="E90" s="2">
        <v>117</v>
      </c>
      <c r="F90" s="12">
        <v>87672</v>
      </c>
      <c r="G90" s="18">
        <f>Table1[[#This Row],[Amount]]*0.1</f>
        <v>8767.2000000000007</v>
      </c>
      <c r="H90" s="2" t="str">
        <f>TEXT(Table1[[#This Row],[Date]],"DD")</f>
        <v>02</v>
      </c>
      <c r="I90" s="2" t="str">
        <f>TEXT(Table1[[#This Row],[Date]],"MM")</f>
        <v>04</v>
      </c>
      <c r="J90" s="2" t="str">
        <f>TEXT(Table1[[#This Row],[Date]],"YYYY")</f>
        <v>2023</v>
      </c>
      <c r="K90" s="24" t="str">
        <f>IF(Table1[[#This Row],[Amount]]&gt;40000,"High","low")</f>
        <v>High</v>
      </c>
      <c r="L90" s="24" t="str">
        <f>IF(AND(Table1[[#This Row],[Region]]="North",Table1[[#This Row],[Amount]]&gt;50000),"achive","Not achive")</f>
        <v>achive</v>
      </c>
      <c r="M90" s="27"/>
    </row>
    <row r="91" spans="2:13" ht="14.25" customHeight="1">
      <c r="B91" s="4">
        <v>45381</v>
      </c>
      <c r="C91" s="2" t="s">
        <v>15</v>
      </c>
      <c r="D91" s="2" t="s">
        <v>24</v>
      </c>
      <c r="E91" s="2">
        <v>99</v>
      </c>
      <c r="F91" s="12">
        <v>83750</v>
      </c>
      <c r="G91" s="18">
        <f>Table1[[#This Row],[Amount]]*0.1</f>
        <v>8375</v>
      </c>
      <c r="H91" s="2" t="str">
        <f>TEXT(Table1[[#This Row],[Date]],"DD")</f>
        <v>30</v>
      </c>
      <c r="I91" s="2" t="str">
        <f>TEXT(Table1[[#This Row],[Date]],"MM")</f>
        <v>03</v>
      </c>
      <c r="J91" s="2" t="str">
        <f>TEXT(Table1[[#This Row],[Date]],"YYYY")</f>
        <v>2024</v>
      </c>
      <c r="K91" s="24" t="str">
        <f>IF(Table1[[#This Row],[Amount]]&gt;40000,"High","low")</f>
        <v>High</v>
      </c>
      <c r="L91" s="24" t="str">
        <f>IF(AND(Table1[[#This Row],[Region]]="North",Table1[[#This Row],[Amount]]&gt;50000),"achive","Not achive")</f>
        <v>Not achive</v>
      </c>
      <c r="M91" s="27"/>
    </row>
    <row r="92" spans="2:13" ht="14.25" customHeight="1">
      <c r="B92" s="4">
        <v>45435</v>
      </c>
      <c r="C92" s="2" t="s">
        <v>15</v>
      </c>
      <c r="D92" s="2" t="s">
        <v>24</v>
      </c>
      <c r="E92" s="2">
        <v>37</v>
      </c>
      <c r="F92" s="12">
        <v>29251</v>
      </c>
      <c r="G92" s="18">
        <f>Table1[[#This Row],[Amount]]*0.1</f>
        <v>2925.1000000000004</v>
      </c>
      <c r="H92" s="2" t="str">
        <f>TEXT(Table1[[#This Row],[Date]],"DD")</f>
        <v>23</v>
      </c>
      <c r="I92" s="2" t="str">
        <f>TEXT(Table1[[#This Row],[Date]],"MM")</f>
        <v>05</v>
      </c>
      <c r="J92" s="2" t="str">
        <f>TEXT(Table1[[#This Row],[Date]],"YYYY")</f>
        <v>2024</v>
      </c>
      <c r="K92" s="24" t="str">
        <f>IF(Table1[[#This Row],[Amount]]&gt;40000,"High","low")</f>
        <v>low</v>
      </c>
      <c r="L92" s="24" t="str">
        <f>IF(AND(Table1[[#This Row],[Region]]="North",Table1[[#This Row],[Amount]]&gt;50000),"achive","Not achive")</f>
        <v>Not achive</v>
      </c>
      <c r="M92" s="27"/>
    </row>
    <row r="93" spans="2:13" ht="14.25" customHeight="1">
      <c r="B93" s="4">
        <v>44961</v>
      </c>
      <c r="C93" s="2" t="s">
        <v>15</v>
      </c>
      <c r="D93" s="2" t="s">
        <v>24</v>
      </c>
      <c r="E93" s="2">
        <v>24</v>
      </c>
      <c r="F93" s="12">
        <v>26945</v>
      </c>
      <c r="G93" s="18">
        <f>Table1[[#This Row],[Amount]]*0.1</f>
        <v>2694.5</v>
      </c>
      <c r="H93" s="2" t="str">
        <f>TEXT(Table1[[#This Row],[Date]],"DD")</f>
        <v>04</v>
      </c>
      <c r="I93" s="2" t="str">
        <f>TEXT(Table1[[#This Row],[Date]],"MM")</f>
        <v>02</v>
      </c>
      <c r="J93" s="2" t="str">
        <f>TEXT(Table1[[#This Row],[Date]],"YYYY")</f>
        <v>2023</v>
      </c>
      <c r="K93" s="24" t="str">
        <f>IF(Table1[[#This Row],[Amount]]&gt;40000,"High","low")</f>
        <v>low</v>
      </c>
      <c r="L93" s="24" t="str">
        <f>IF(AND(Table1[[#This Row],[Region]]="North",Table1[[#This Row],[Amount]]&gt;50000),"achive","Not achive")</f>
        <v>Not achive</v>
      </c>
      <c r="M93" s="27"/>
    </row>
    <row r="94" spans="2:13" ht="14.25" customHeight="1">
      <c r="B94" s="4">
        <v>45492</v>
      </c>
      <c r="C94" s="2" t="s">
        <v>15</v>
      </c>
      <c r="D94" s="2" t="s">
        <v>24</v>
      </c>
      <c r="E94" s="2">
        <v>116</v>
      </c>
      <c r="F94" s="12">
        <v>90480</v>
      </c>
      <c r="G94" s="18">
        <f>Table1[[#This Row],[Amount]]*0.1</f>
        <v>9048</v>
      </c>
      <c r="H94" s="2" t="str">
        <f>TEXT(Table1[[#This Row],[Date]],"DD")</f>
        <v>19</v>
      </c>
      <c r="I94" s="2" t="str">
        <f>TEXT(Table1[[#This Row],[Date]],"MM")</f>
        <v>07</v>
      </c>
      <c r="J94" s="2" t="str">
        <f>TEXT(Table1[[#This Row],[Date]],"YYYY")</f>
        <v>2024</v>
      </c>
      <c r="K94" s="24" t="str">
        <f>IF(Table1[[#This Row],[Amount]]&gt;40000,"High","low")</f>
        <v>High</v>
      </c>
      <c r="L94" s="24" t="str">
        <f>IF(AND(Table1[[#This Row],[Region]]="North",Table1[[#This Row],[Amount]]&gt;50000),"achive","Not achive")</f>
        <v>Not achive</v>
      </c>
      <c r="M94" s="27"/>
    </row>
    <row r="95" spans="2:13" ht="14.25" customHeight="1">
      <c r="B95" s="4">
        <v>45128</v>
      </c>
      <c r="C95" s="2" t="s">
        <v>17</v>
      </c>
      <c r="D95" s="2" t="s">
        <v>24</v>
      </c>
      <c r="E95" s="2">
        <v>18</v>
      </c>
      <c r="F95" s="12">
        <v>8805</v>
      </c>
      <c r="G95" s="18">
        <f>Table1[[#This Row],[Amount]]*0.1</f>
        <v>880.5</v>
      </c>
      <c r="H95" s="2" t="str">
        <f>TEXT(Table1[[#This Row],[Date]],"DD")</f>
        <v>21</v>
      </c>
      <c r="I95" s="2" t="str">
        <f>TEXT(Table1[[#This Row],[Date]],"MM")</f>
        <v>07</v>
      </c>
      <c r="J95" s="2" t="str">
        <f>TEXT(Table1[[#This Row],[Date]],"YYYY")</f>
        <v>2023</v>
      </c>
      <c r="K95" s="24" t="str">
        <f>IF(Table1[[#This Row],[Amount]]&gt;40000,"High","low")</f>
        <v>low</v>
      </c>
      <c r="L95" s="24" t="str">
        <f>IF(AND(Table1[[#This Row],[Region]]="North",Table1[[#This Row],[Amount]]&gt;50000),"achive","Not achive")</f>
        <v>Not achive</v>
      </c>
      <c r="M95" s="27"/>
    </row>
    <row r="96" spans="2:13" ht="14.25" customHeight="1">
      <c r="B96" s="4">
        <v>45419</v>
      </c>
      <c r="C96" s="2" t="s">
        <v>16</v>
      </c>
      <c r="D96" s="2" t="s">
        <v>24</v>
      </c>
      <c r="E96" s="2">
        <v>151</v>
      </c>
      <c r="F96" s="12">
        <v>74666</v>
      </c>
      <c r="G96" s="18">
        <f>Table1[[#This Row],[Amount]]*0.1</f>
        <v>7466.6</v>
      </c>
      <c r="H96" s="2" t="str">
        <f>TEXT(Table1[[#This Row],[Date]],"DD")</f>
        <v>07</v>
      </c>
      <c r="I96" s="2" t="str">
        <f>TEXT(Table1[[#This Row],[Date]],"MM")</f>
        <v>05</v>
      </c>
      <c r="J96" s="2" t="str">
        <f>TEXT(Table1[[#This Row],[Date]],"YYYY")</f>
        <v>2024</v>
      </c>
      <c r="K96" s="24" t="str">
        <f>IF(Table1[[#This Row],[Amount]]&gt;40000,"High","low")</f>
        <v>High</v>
      </c>
      <c r="L96" s="24" t="str">
        <f>IF(AND(Table1[[#This Row],[Region]]="North",Table1[[#This Row],[Amount]]&gt;50000),"achive","Not achive")</f>
        <v>Not achive</v>
      </c>
      <c r="M96" s="27"/>
    </row>
    <row r="97" spans="2:13" ht="14.25" customHeight="1">
      <c r="B97" s="4">
        <v>44941</v>
      </c>
      <c r="C97" s="2" t="s">
        <v>16</v>
      </c>
      <c r="D97" s="2" t="s">
        <v>24</v>
      </c>
      <c r="E97" s="2">
        <v>155</v>
      </c>
      <c r="F97" s="12">
        <v>70042</v>
      </c>
      <c r="G97" s="18">
        <f>Table1[[#This Row],[Amount]]*0.1</f>
        <v>7004.2000000000007</v>
      </c>
      <c r="H97" s="2" t="str">
        <f>TEXT(Table1[[#This Row],[Date]],"DD")</f>
        <v>15</v>
      </c>
      <c r="I97" s="2" t="str">
        <f>TEXT(Table1[[#This Row],[Date]],"MM")</f>
        <v>01</v>
      </c>
      <c r="J97" s="2" t="str">
        <f>TEXT(Table1[[#This Row],[Date]],"YYYY")</f>
        <v>2023</v>
      </c>
      <c r="K97" s="24" t="str">
        <f>IF(Table1[[#This Row],[Amount]]&gt;40000,"High","low")</f>
        <v>High</v>
      </c>
      <c r="L97" s="24" t="str">
        <f>IF(AND(Table1[[#This Row],[Region]]="North",Table1[[#This Row],[Amount]]&gt;50000),"achive","Not achive")</f>
        <v>Not achive</v>
      </c>
      <c r="M97" s="27"/>
    </row>
    <row r="98" spans="2:13" ht="14.25" customHeight="1">
      <c r="B98" s="4">
        <v>44991</v>
      </c>
      <c r="C98" s="2" t="s">
        <v>11</v>
      </c>
      <c r="D98" s="2" t="s">
        <v>24</v>
      </c>
      <c r="E98" s="2">
        <v>130</v>
      </c>
      <c r="F98" s="12">
        <v>14284</v>
      </c>
      <c r="G98" s="18">
        <f>Table1[[#This Row],[Amount]]*0.1</f>
        <v>1428.4</v>
      </c>
      <c r="H98" s="2" t="str">
        <f>TEXT(Table1[[#This Row],[Date]],"DD")</f>
        <v>06</v>
      </c>
      <c r="I98" s="2" t="str">
        <f>TEXT(Table1[[#This Row],[Date]],"MM")</f>
        <v>03</v>
      </c>
      <c r="J98" s="2" t="str">
        <f>TEXT(Table1[[#This Row],[Date]],"YYYY")</f>
        <v>2023</v>
      </c>
      <c r="K98" s="24" t="str">
        <f>IF(Table1[[#This Row],[Amount]]&gt;40000,"High","low")</f>
        <v>low</v>
      </c>
      <c r="L98" s="24" t="str">
        <f>IF(AND(Table1[[#This Row],[Region]]="North",Table1[[#This Row],[Amount]]&gt;50000),"achive","Not achive")</f>
        <v>Not achive</v>
      </c>
      <c r="M98" s="27"/>
    </row>
    <row r="99" spans="2:13" ht="14.25" customHeight="1">
      <c r="B99" s="4">
        <v>45447</v>
      </c>
      <c r="C99" s="2" t="s">
        <v>15</v>
      </c>
      <c r="D99" s="2" t="s">
        <v>24</v>
      </c>
      <c r="E99" s="2">
        <v>17</v>
      </c>
      <c r="F99" s="12">
        <v>73789</v>
      </c>
      <c r="G99" s="18">
        <f>Table1[[#This Row],[Amount]]*0.1</f>
        <v>7378.9000000000005</v>
      </c>
      <c r="H99" s="2" t="str">
        <f>TEXT(Table1[[#This Row],[Date]],"DD")</f>
        <v>04</v>
      </c>
      <c r="I99" s="2" t="str">
        <f>TEXT(Table1[[#This Row],[Date]],"MM")</f>
        <v>06</v>
      </c>
      <c r="J99" s="2" t="str">
        <f>TEXT(Table1[[#This Row],[Date]],"YYYY")</f>
        <v>2024</v>
      </c>
      <c r="K99" s="24" t="str">
        <f>IF(Table1[[#This Row],[Amount]]&gt;40000,"High","low")</f>
        <v>High</v>
      </c>
      <c r="L99" s="24" t="str">
        <f>IF(AND(Table1[[#This Row],[Region]]="North",Table1[[#This Row],[Amount]]&gt;50000),"achive","Not achive")</f>
        <v>Not achive</v>
      </c>
      <c r="M99" s="27"/>
    </row>
    <row r="100" spans="2:13" ht="14.25" customHeight="1">
      <c r="B100" s="4">
        <v>44989</v>
      </c>
      <c r="C100" s="2" t="s">
        <v>11</v>
      </c>
      <c r="D100" s="2" t="s">
        <v>24</v>
      </c>
      <c r="E100" s="2">
        <v>43</v>
      </c>
      <c r="F100" s="12">
        <v>10435</v>
      </c>
      <c r="G100" s="18">
        <f>Table1[[#This Row],[Amount]]*0.1</f>
        <v>1043.5</v>
      </c>
      <c r="H100" s="2" t="str">
        <f>TEXT(Table1[[#This Row],[Date]],"DD")</f>
        <v>04</v>
      </c>
      <c r="I100" s="2" t="str">
        <f>TEXT(Table1[[#This Row],[Date]],"MM")</f>
        <v>03</v>
      </c>
      <c r="J100" s="2" t="str">
        <f>TEXT(Table1[[#This Row],[Date]],"YYYY")</f>
        <v>2023</v>
      </c>
      <c r="K100" s="24" t="str">
        <f>IF(Table1[[#This Row],[Amount]]&gt;40000,"High","low")</f>
        <v>low</v>
      </c>
      <c r="L100" s="24" t="str">
        <f>IF(AND(Table1[[#This Row],[Region]]="North",Table1[[#This Row],[Amount]]&gt;50000),"achive","Not achive")</f>
        <v>Not achive</v>
      </c>
      <c r="M100" s="27"/>
    </row>
    <row r="101" spans="2:13" ht="14.25" customHeight="1">
      <c r="B101" s="4">
        <v>45318</v>
      </c>
      <c r="C101" s="2" t="s">
        <v>16</v>
      </c>
      <c r="D101" s="2" t="s">
        <v>24</v>
      </c>
      <c r="E101" s="2">
        <v>26</v>
      </c>
      <c r="F101" s="12">
        <v>52293</v>
      </c>
      <c r="G101" s="18">
        <f>Table1[[#This Row],[Amount]]*0.1</f>
        <v>5229.3</v>
      </c>
      <c r="H101" s="2" t="str">
        <f>TEXT(Table1[[#This Row],[Date]],"DD")</f>
        <v>27</v>
      </c>
      <c r="I101" s="2" t="str">
        <f>TEXT(Table1[[#This Row],[Date]],"MM")</f>
        <v>01</v>
      </c>
      <c r="J101" s="2" t="str">
        <f>TEXT(Table1[[#This Row],[Date]],"YYYY")</f>
        <v>2024</v>
      </c>
      <c r="K101" s="24" t="str">
        <f>IF(Table1[[#This Row],[Amount]]&gt;40000,"High","low")</f>
        <v>High</v>
      </c>
      <c r="L101" s="24" t="str">
        <f>IF(AND(Table1[[#This Row],[Region]]="North",Table1[[#This Row],[Amount]]&gt;50000),"achive","Not achive")</f>
        <v>Not achive</v>
      </c>
      <c r="M101" s="27"/>
    </row>
    <row r="102" spans="2:13" ht="14.25" customHeight="1">
      <c r="B102" s="5">
        <v>45215</v>
      </c>
      <c r="C102" s="6" t="s">
        <v>11</v>
      </c>
      <c r="D102" s="6" t="s">
        <v>24</v>
      </c>
      <c r="E102" s="6">
        <v>50</v>
      </c>
      <c r="F102" s="13">
        <v>79781</v>
      </c>
      <c r="G102" s="19">
        <f>Table1[[#This Row],[Amount]]*0.1</f>
        <v>7978.1</v>
      </c>
      <c r="H102" s="6" t="str">
        <f>TEXT(Table1[[#This Row],[Date]],"DD")</f>
        <v>16</v>
      </c>
      <c r="I102" s="6" t="str">
        <f>TEXT(Table1[[#This Row],[Date]],"MM")</f>
        <v>10</v>
      </c>
      <c r="J102" s="6" t="str">
        <f>TEXT(Table1[[#This Row],[Date]],"YYYY")</f>
        <v>2023</v>
      </c>
      <c r="K102" s="26" t="str">
        <f>IF(Table1[[#This Row],[Amount]]&gt;40000,"High","low")</f>
        <v>High</v>
      </c>
      <c r="L102" s="26" t="str">
        <f>IF(AND(Table1[[#This Row],[Region]]="North",Table1[[#This Row],[Amount]]&gt;50000),"achive","Not achive")</f>
        <v>achive</v>
      </c>
      <c r="M102" s="27"/>
    </row>
    <row r="103" spans="2:13" ht="14.25" customHeight="1">
      <c r="B103" s="5"/>
      <c r="C103" s="6"/>
      <c r="D103" s="6"/>
      <c r="E103" s="6"/>
      <c r="F103" s="13">
        <f>SUM(Table1[Amount])</f>
        <v>5467315</v>
      </c>
      <c r="G103" s="19"/>
      <c r="H103" s="6"/>
      <c r="I103" s="6"/>
      <c r="J103" s="6"/>
      <c r="K103" s="6"/>
      <c r="L103" s="6"/>
      <c r="M103" s="20"/>
    </row>
    <row r="104" spans="2:13" ht="14.25" customHeight="1"/>
    <row r="105" spans="2:13" ht="14.25" customHeight="1"/>
    <row r="106" spans="2:13" ht="14.25" customHeight="1"/>
    <row r="107" spans="2:13" ht="14.25" customHeight="1"/>
    <row r="108" spans="2:13" ht="14.25" customHeight="1"/>
    <row r="109" spans="2:13" ht="14.25" customHeight="1"/>
    <row r="110" spans="2:13" ht="14.25" customHeight="1"/>
    <row r="111" spans="2:13" ht="14.25" customHeight="1"/>
    <row r="112" spans="2:1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conditionalFormatting sqref="F4:F103">
    <cfRule type="cellIs" dxfId="89" priority="1" operator="greaterThan">
      <formula>50000</formula>
    </cfRule>
  </conditionalFormatting>
  <dataValidations count="1">
    <dataValidation type="whole" allowBlank="1" showInputMessage="1" showErrorMessage="1" sqref="E4:E102" xr:uid="{92127D3F-977D-4935-ABF5-F21949FFB5B8}">
      <formula1>1</formula1>
      <formula2>100</formula2>
    </dataValidation>
  </dataValidations>
  <pageMargins left="0.75" right="0.75" top="1" bottom="1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B18" sqref="B18"/>
    </sheetView>
  </sheetViews>
  <sheetFormatPr defaultColWidth="14.42578125" defaultRowHeight="15" customHeight="1"/>
  <cols>
    <col min="1" max="1" width="8.7109375" customWidth="1"/>
    <col min="2" max="2" width="64.28515625" bestFit="1" customWidth="1"/>
    <col min="3" max="26" width="8.7109375" customWidth="1"/>
  </cols>
  <sheetData>
    <row r="1" spans="1:2" ht="14.25" customHeight="1">
      <c r="A1" s="1" t="s">
        <v>25</v>
      </c>
      <c r="B1" s="1" t="s">
        <v>26</v>
      </c>
    </row>
    <row r="2" spans="1:2" ht="14.25" customHeight="1">
      <c r="A2" s="1">
        <v>1</v>
      </c>
      <c r="B2" s="1" t="s">
        <v>27</v>
      </c>
    </row>
    <row r="3" spans="1:2" ht="14.25" customHeight="1">
      <c r="A3" s="1">
        <v>2</v>
      </c>
      <c r="B3" s="3" t="s">
        <v>28</v>
      </c>
    </row>
    <row r="4" spans="1:2" ht="14.25" customHeight="1">
      <c r="A4" s="1">
        <v>3</v>
      </c>
      <c r="B4" s="1" t="s">
        <v>29</v>
      </c>
    </row>
    <row r="5" spans="1:2" ht="14.25" customHeight="1">
      <c r="A5" s="1">
        <v>4</v>
      </c>
      <c r="B5" s="1" t="s">
        <v>30</v>
      </c>
    </row>
    <row r="6" spans="1:2" ht="14.25" customHeight="1">
      <c r="A6" s="1">
        <v>5</v>
      </c>
      <c r="B6" s="1" t="s">
        <v>31</v>
      </c>
    </row>
    <row r="7" spans="1:2" ht="14.25" customHeight="1">
      <c r="A7" s="1">
        <v>6</v>
      </c>
      <c r="B7" s="1" t="s">
        <v>32</v>
      </c>
    </row>
    <row r="8" spans="1:2" ht="14.25" customHeight="1">
      <c r="A8" s="1">
        <v>7</v>
      </c>
      <c r="B8" s="1" t="s">
        <v>33</v>
      </c>
    </row>
    <row r="9" spans="1:2" ht="14.25" customHeight="1">
      <c r="A9" s="1">
        <v>8</v>
      </c>
      <c r="B9" s="1" t="s">
        <v>34</v>
      </c>
    </row>
    <row r="10" spans="1:2" ht="14.25" customHeight="1">
      <c r="A10" s="1">
        <v>9</v>
      </c>
      <c r="B10" s="1" t="s">
        <v>35</v>
      </c>
    </row>
    <row r="11" spans="1:2" ht="14.25" customHeight="1">
      <c r="A11" s="1">
        <v>10</v>
      </c>
      <c r="B11" s="1" t="s">
        <v>36</v>
      </c>
    </row>
    <row r="12" spans="1:2" ht="14.25" customHeight="1">
      <c r="A12" s="1">
        <v>11</v>
      </c>
      <c r="B12" s="1" t="s">
        <v>37</v>
      </c>
    </row>
    <row r="13" spans="1:2" ht="14.25" customHeight="1">
      <c r="A13" s="1">
        <v>12</v>
      </c>
      <c r="B13" s="1" t="s">
        <v>38</v>
      </c>
    </row>
    <row r="14" spans="1:2" ht="14.25" customHeight="1">
      <c r="A14" s="1">
        <v>13</v>
      </c>
      <c r="B14" s="1" t="s">
        <v>39</v>
      </c>
    </row>
    <row r="15" spans="1:2" ht="14.25" customHeight="1">
      <c r="A15" s="1">
        <v>14</v>
      </c>
      <c r="B15" s="1" t="s">
        <v>40</v>
      </c>
    </row>
    <row r="16" spans="1:2" ht="14.25" customHeight="1">
      <c r="A16" s="1">
        <v>15</v>
      </c>
      <c r="B16" s="1" t="s">
        <v>41</v>
      </c>
    </row>
    <row r="17" spans="1:2" ht="14.25" customHeight="1">
      <c r="A17" s="1">
        <v>16</v>
      </c>
      <c r="B17" s="1" t="s">
        <v>42</v>
      </c>
    </row>
    <row r="18" spans="1:2" ht="14.25" customHeight="1">
      <c r="A18" s="1">
        <v>17</v>
      </c>
      <c r="B18" s="1" t="s">
        <v>43</v>
      </c>
    </row>
    <row r="19" spans="1:2" ht="14.25" customHeight="1">
      <c r="A19" s="1">
        <v>18</v>
      </c>
      <c r="B19" s="1" t="s">
        <v>44</v>
      </c>
    </row>
    <row r="20" spans="1:2" ht="14.25" customHeight="1">
      <c r="A20" s="1">
        <v>19</v>
      </c>
      <c r="B20" s="1" t="s">
        <v>45</v>
      </c>
    </row>
    <row r="21" spans="1:2" ht="14.25" customHeight="1">
      <c r="A21" s="1">
        <v>20</v>
      </c>
      <c r="B21" s="1" t="s">
        <v>46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topLeftCell="B1" workbookViewId="0">
      <selection activeCell="I1" sqref="I1"/>
    </sheetView>
  </sheetViews>
  <sheetFormatPr defaultColWidth="14.42578125" defaultRowHeight="15" customHeight="1"/>
  <cols>
    <col min="1" max="1" width="13.85546875" customWidth="1"/>
    <col min="2" max="2" width="14.42578125" bestFit="1" customWidth="1"/>
    <col min="3" max="3" width="14.42578125" customWidth="1"/>
    <col min="4" max="4" width="9.85546875" bestFit="1" customWidth="1"/>
    <col min="5" max="5" width="16.140625" bestFit="1" customWidth="1"/>
    <col min="6" max="6" width="12.7109375" style="42" bestFit="1" customWidth="1"/>
    <col min="7" max="7" width="8.7109375" customWidth="1"/>
    <col min="8" max="8" width="7.42578125" customWidth="1"/>
    <col min="9" max="12" width="8.7109375" customWidth="1"/>
    <col min="13" max="14" width="11.140625" customWidth="1"/>
    <col min="15" max="15" width="8.7109375" customWidth="1"/>
    <col min="16" max="16" width="26.42578125" customWidth="1"/>
    <col min="17" max="31" width="8.7109375" customWidth="1"/>
  </cols>
  <sheetData>
    <row r="1" spans="1:17" ht="30.75">
      <c r="A1" s="7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39" t="s">
        <v>52</v>
      </c>
      <c r="G1" s="48" t="s">
        <v>53</v>
      </c>
      <c r="H1" s="48" t="s">
        <v>54</v>
      </c>
    </row>
    <row r="2" spans="1:17" ht="14.25" customHeight="1">
      <c r="A2" s="4" t="s">
        <v>55</v>
      </c>
      <c r="B2" s="2" t="s">
        <v>56</v>
      </c>
      <c r="C2" s="2" t="s">
        <v>57</v>
      </c>
      <c r="D2" s="2" t="s">
        <v>58</v>
      </c>
      <c r="E2" s="47">
        <v>43506</v>
      </c>
      <c r="F2" s="40">
        <v>51734</v>
      </c>
      <c r="G2" s="15" t="str">
        <f>IF(F2&gt;75000,"yes","No")</f>
        <v>No</v>
      </c>
      <c r="H2" s="50" t="str">
        <f>IF(OR(Table3[[#This Row],[Dept]]="Sales",Table3[[#This Row],[Dept]]="IT"),"Yes","No")</f>
        <v>No</v>
      </c>
    </row>
    <row r="3" spans="1:17" ht="14.25" customHeight="1">
      <c r="A3" s="4" t="s">
        <v>59</v>
      </c>
      <c r="B3" s="2" t="s">
        <v>60</v>
      </c>
      <c r="C3" s="2" t="s">
        <v>61</v>
      </c>
      <c r="D3" s="2" t="s">
        <v>58</v>
      </c>
      <c r="E3" s="47">
        <v>43507</v>
      </c>
      <c r="F3" s="40">
        <v>73447</v>
      </c>
      <c r="G3" s="15" t="str">
        <f t="shared" ref="G3:G66" si="0">IF(F3&gt;75000,"yes","No")</f>
        <v>No</v>
      </c>
      <c r="H3" s="50" t="str">
        <f>IF(OR(Table3[[#This Row],[Dept]]="Sales",Table3[[#This Row],[Dept]]="IT"),"Yes","No")</f>
        <v>No</v>
      </c>
    </row>
    <row r="4" spans="1:17" ht="14.25" customHeight="1">
      <c r="A4" s="4" t="s">
        <v>62</v>
      </c>
      <c r="B4" s="2" t="s">
        <v>63</v>
      </c>
      <c r="C4" s="2" t="s">
        <v>61</v>
      </c>
      <c r="D4" s="2" t="s">
        <v>58</v>
      </c>
      <c r="E4" s="47">
        <v>43508</v>
      </c>
      <c r="F4" s="40">
        <v>100703</v>
      </c>
      <c r="G4" s="15" t="str">
        <f t="shared" si="0"/>
        <v>yes</v>
      </c>
      <c r="H4" s="50" t="str">
        <f>IF(OR(Table3[[#This Row],[Dept]]="Sales",Table3[[#This Row],[Dept]]="IT"),"Yes","No")</f>
        <v>No</v>
      </c>
      <c r="M4" s="45" t="s">
        <v>13</v>
      </c>
      <c r="N4" t="s">
        <v>64</v>
      </c>
    </row>
    <row r="5" spans="1:17" ht="14.25" customHeight="1">
      <c r="A5" s="4" t="s">
        <v>65</v>
      </c>
      <c r="B5" s="2" t="s">
        <v>66</v>
      </c>
      <c r="C5" s="2" t="s">
        <v>67</v>
      </c>
      <c r="D5" s="2" t="s">
        <v>58</v>
      </c>
      <c r="E5" s="47">
        <v>43509</v>
      </c>
      <c r="F5" s="40">
        <v>53024</v>
      </c>
      <c r="G5" s="15" t="str">
        <f t="shared" si="0"/>
        <v>No</v>
      </c>
      <c r="H5" s="50" t="str">
        <f>IF(OR(Table3[[#This Row],[Dept]]="Sales",Table3[[#This Row],[Dept]]="IT"),"Yes","No")</f>
        <v>No</v>
      </c>
      <c r="M5" s="45" t="s">
        <v>58</v>
      </c>
      <c r="N5" s="38">
        <f>AVERAGEIF(Table3[Dept],Table5[[#This Row],[Column1]],Table3[Salary])</f>
        <v>73672.875</v>
      </c>
      <c r="P5" s="46" t="s">
        <v>68</v>
      </c>
      <c r="Q5" s="22">
        <f>COUNTIF(Table3[DOJ],"&gt;01-01-2023")</f>
        <v>0</v>
      </c>
    </row>
    <row r="6" spans="1:17" ht="14.25" customHeight="1">
      <c r="A6" s="4" t="s">
        <v>69</v>
      </c>
      <c r="B6" s="2" t="s">
        <v>70</v>
      </c>
      <c r="C6" s="2" t="s">
        <v>71</v>
      </c>
      <c r="D6" s="2" t="s">
        <v>58</v>
      </c>
      <c r="E6" s="47">
        <v>43510</v>
      </c>
      <c r="F6" s="40">
        <v>83656</v>
      </c>
      <c r="G6" s="15" t="str">
        <f t="shared" si="0"/>
        <v>yes</v>
      </c>
      <c r="H6" s="50" t="str">
        <f>IF(OR(Table3[[#This Row],[Dept]]="Sales",Table3[[#This Row],[Dept]]="IT"),"Yes","No")</f>
        <v>No</v>
      </c>
      <c r="M6" s="45" t="s">
        <v>72</v>
      </c>
      <c r="N6" s="38">
        <f>AVERAGEIF(Table3[Dept],Table5[[#This Row],[Column1]],Table3[Salary])</f>
        <v>80618.166666666672</v>
      </c>
      <c r="Q6" s="44"/>
    </row>
    <row r="7" spans="1:17" ht="14.25" customHeight="1">
      <c r="A7" s="4" t="s">
        <v>73</v>
      </c>
      <c r="B7" s="2" t="s">
        <v>74</v>
      </c>
      <c r="C7" s="2" t="s">
        <v>61</v>
      </c>
      <c r="D7" s="2" t="s">
        <v>58</v>
      </c>
      <c r="E7" s="47">
        <v>43511</v>
      </c>
      <c r="F7" s="40">
        <v>96158</v>
      </c>
      <c r="G7" s="15" t="str">
        <f t="shared" si="0"/>
        <v>yes</v>
      </c>
      <c r="H7" s="50" t="str">
        <f>IF(OR(Table3[[#This Row],[Dept]]="Sales",Table3[[#This Row],[Dept]]="IT"),"Yes","No")</f>
        <v>No</v>
      </c>
      <c r="M7" s="45" t="s">
        <v>75</v>
      </c>
      <c r="N7" s="38">
        <f>AVERAGEIF(Table3[Dept],Table5[[#This Row],[Column1]],Table3[Salary])</f>
        <v>67268.555555555562</v>
      </c>
    </row>
    <row r="8" spans="1:17" ht="14.25" customHeight="1">
      <c r="A8" s="4" t="s">
        <v>76</v>
      </c>
      <c r="B8" s="2" t="s">
        <v>77</v>
      </c>
      <c r="C8" s="2" t="s">
        <v>78</v>
      </c>
      <c r="D8" s="2" t="s">
        <v>58</v>
      </c>
      <c r="E8" s="47">
        <v>43512</v>
      </c>
      <c r="F8" s="40">
        <v>52139</v>
      </c>
      <c r="G8" s="15" t="str">
        <f t="shared" si="0"/>
        <v>No</v>
      </c>
      <c r="H8" s="50" t="str">
        <f>IF(OR(Table3[[#This Row],[Dept]]="Sales",Table3[[#This Row],[Dept]]="IT"),"Yes","No")</f>
        <v>No</v>
      </c>
      <c r="M8" s="45" t="s">
        <v>79</v>
      </c>
      <c r="N8" s="38">
        <f>AVERAGEIF(Table3[Dept],Table5[[#This Row],[Column1]],Table3[Salary])</f>
        <v>70700.777777777781</v>
      </c>
    </row>
    <row r="9" spans="1:17" ht="14.25" customHeight="1">
      <c r="A9" s="4" t="s">
        <v>80</v>
      </c>
      <c r="B9" s="2" t="s">
        <v>77</v>
      </c>
      <c r="C9" s="2" t="s">
        <v>78</v>
      </c>
      <c r="D9" s="2" t="s">
        <v>58</v>
      </c>
      <c r="E9" s="47">
        <v>43513</v>
      </c>
      <c r="F9" s="40">
        <v>101125</v>
      </c>
      <c r="G9" s="15" t="str">
        <f t="shared" si="0"/>
        <v>yes</v>
      </c>
      <c r="H9" s="50" t="str">
        <f>IF(OR(Table3[[#This Row],[Dept]]="Sales",Table3[[#This Row],[Dept]]="IT"),"Yes","No")</f>
        <v>No</v>
      </c>
      <c r="M9" s="45" t="s">
        <v>81</v>
      </c>
      <c r="N9" s="38">
        <f>AVERAGEIF(Table3[Dept],Table5[[#This Row],[Column1]],Table3[Salary])</f>
        <v>76038.4375</v>
      </c>
    </row>
    <row r="10" spans="1:17" ht="14.25" customHeight="1">
      <c r="A10" s="4" t="s">
        <v>82</v>
      </c>
      <c r="B10" s="2" t="s">
        <v>83</v>
      </c>
      <c r="C10" s="2" t="s">
        <v>84</v>
      </c>
      <c r="D10" s="2" t="s">
        <v>58</v>
      </c>
      <c r="E10" s="47">
        <v>43514</v>
      </c>
      <c r="F10" s="40">
        <v>63110</v>
      </c>
      <c r="G10" s="15" t="str">
        <f t="shared" si="0"/>
        <v>No</v>
      </c>
      <c r="H10" s="50" t="str">
        <f>IF(OR(Table3[[#This Row],[Dept]]="Sales",Table3[[#This Row],[Dept]]="IT"),"Yes","No")</f>
        <v>No</v>
      </c>
      <c r="M10" s="45" t="s">
        <v>9</v>
      </c>
      <c r="N10" s="38">
        <f>AVERAGEIF(Table3[Dept],Table5[[#This Row],[Column1]],Table3[Salary])</f>
        <v>59211.85</v>
      </c>
    </row>
    <row r="11" spans="1:17" ht="14.25" customHeight="1">
      <c r="A11" s="4" t="s">
        <v>85</v>
      </c>
      <c r="B11" s="2" t="s">
        <v>86</v>
      </c>
      <c r="C11" s="2" t="s">
        <v>61</v>
      </c>
      <c r="D11" s="2" t="s">
        <v>58</v>
      </c>
      <c r="E11" s="47">
        <v>43515</v>
      </c>
      <c r="F11" s="40">
        <v>78441</v>
      </c>
      <c r="G11" s="15" t="str">
        <f t="shared" si="0"/>
        <v>yes</v>
      </c>
      <c r="H11" s="50" t="str">
        <f>IF(OR(Table3[[#This Row],[Dept]]="Sales",Table3[[#This Row],[Dept]]="IT"),"Yes","No")</f>
        <v>No</v>
      </c>
    </row>
    <row r="12" spans="1:17" ht="14.25" customHeight="1">
      <c r="A12" s="4" t="s">
        <v>87</v>
      </c>
      <c r="B12" s="2" t="s">
        <v>56</v>
      </c>
      <c r="C12" s="2" t="s">
        <v>78</v>
      </c>
      <c r="D12" s="2" t="s">
        <v>58</v>
      </c>
      <c r="E12" s="47">
        <v>43516</v>
      </c>
      <c r="F12" s="40">
        <v>55105</v>
      </c>
      <c r="G12" s="15" t="str">
        <f t="shared" si="0"/>
        <v>No</v>
      </c>
      <c r="H12" s="50" t="str">
        <f>IF(OR(Table3[[#This Row],[Dept]]="Sales",Table3[[#This Row],[Dept]]="IT"),"Yes","No")</f>
        <v>No</v>
      </c>
    </row>
    <row r="13" spans="1:17" ht="14.25" customHeight="1">
      <c r="A13" s="4" t="s">
        <v>88</v>
      </c>
      <c r="B13" s="2" t="s">
        <v>89</v>
      </c>
      <c r="C13" s="2" t="s">
        <v>90</v>
      </c>
      <c r="D13" s="2" t="s">
        <v>58</v>
      </c>
      <c r="E13" s="47">
        <v>43517</v>
      </c>
      <c r="F13" s="40">
        <v>92584</v>
      </c>
      <c r="G13" s="15" t="str">
        <f t="shared" si="0"/>
        <v>yes</v>
      </c>
      <c r="H13" s="50" t="str">
        <f>IF(OR(Table3[[#This Row],[Dept]]="Sales",Table3[[#This Row],[Dept]]="IT"),"Yes","No")</f>
        <v>No</v>
      </c>
    </row>
    <row r="14" spans="1:17" ht="14.25" customHeight="1">
      <c r="A14" s="4" t="s">
        <v>91</v>
      </c>
      <c r="B14" s="2" t="s">
        <v>77</v>
      </c>
      <c r="C14" s="2" t="s">
        <v>92</v>
      </c>
      <c r="D14" s="2" t="s">
        <v>58</v>
      </c>
      <c r="E14" s="47">
        <v>43518</v>
      </c>
      <c r="F14" s="40">
        <v>84383</v>
      </c>
      <c r="G14" s="15" t="str">
        <f t="shared" si="0"/>
        <v>yes</v>
      </c>
      <c r="H14" s="50" t="str">
        <f>IF(OR(Table3[[#This Row],[Dept]]="Sales",Table3[[#This Row],[Dept]]="IT"),"Yes","No")</f>
        <v>No</v>
      </c>
    </row>
    <row r="15" spans="1:17" ht="14.25" customHeight="1">
      <c r="A15" s="4" t="s">
        <v>93</v>
      </c>
      <c r="B15" s="2" t="s">
        <v>60</v>
      </c>
      <c r="C15" s="2" t="s">
        <v>61</v>
      </c>
      <c r="D15" s="2" t="s">
        <v>58</v>
      </c>
      <c r="E15" s="47">
        <v>43519</v>
      </c>
      <c r="F15" s="40">
        <v>30287</v>
      </c>
      <c r="G15" s="15" t="str">
        <f t="shared" si="0"/>
        <v>No</v>
      </c>
      <c r="H15" s="50" t="str">
        <f>IF(OR(Table3[[#This Row],[Dept]]="Sales",Table3[[#This Row],[Dept]]="IT"),"Yes","No")</f>
        <v>No</v>
      </c>
    </row>
    <row r="16" spans="1:17" ht="14.25" customHeight="1">
      <c r="A16" s="4" t="s">
        <v>94</v>
      </c>
      <c r="B16" s="2" t="s">
        <v>83</v>
      </c>
      <c r="C16" s="2" t="s">
        <v>84</v>
      </c>
      <c r="D16" s="2" t="s">
        <v>58</v>
      </c>
      <c r="E16" s="47">
        <v>43520</v>
      </c>
      <c r="F16" s="40">
        <v>67078</v>
      </c>
      <c r="G16" s="15" t="str">
        <f t="shared" si="0"/>
        <v>No</v>
      </c>
      <c r="H16" s="50" t="str">
        <f>IF(OR(Table3[[#This Row],[Dept]]="Sales",Table3[[#This Row],[Dept]]="IT"),"Yes","No")</f>
        <v>No</v>
      </c>
    </row>
    <row r="17" spans="1:8" ht="14.25" customHeight="1">
      <c r="A17" s="4" t="s">
        <v>95</v>
      </c>
      <c r="B17" s="2" t="s">
        <v>96</v>
      </c>
      <c r="C17" s="2" t="s">
        <v>78</v>
      </c>
      <c r="D17" s="2" t="s">
        <v>58</v>
      </c>
      <c r="E17" s="47">
        <v>43521</v>
      </c>
      <c r="F17" s="40">
        <v>95792</v>
      </c>
      <c r="G17" s="15" t="str">
        <f t="shared" si="0"/>
        <v>yes</v>
      </c>
      <c r="H17" s="50" t="str">
        <f>IF(OR(Table3[[#This Row],[Dept]]="Sales",Table3[[#This Row],[Dept]]="IT"),"Yes","No")</f>
        <v>No</v>
      </c>
    </row>
    <row r="18" spans="1:8" ht="14.25" customHeight="1">
      <c r="A18" s="4" t="s">
        <v>97</v>
      </c>
      <c r="B18" s="2" t="s">
        <v>98</v>
      </c>
      <c r="C18" s="2" t="s">
        <v>99</v>
      </c>
      <c r="D18" s="2" t="s">
        <v>72</v>
      </c>
      <c r="E18" s="47">
        <v>43522</v>
      </c>
      <c r="F18" s="40">
        <v>97274</v>
      </c>
      <c r="G18" s="15" t="str">
        <f t="shared" si="0"/>
        <v>yes</v>
      </c>
      <c r="H18" s="50" t="str">
        <f>IF(OR(Table3[[#This Row],[Dept]]="Sales",Table3[[#This Row],[Dept]]="IT"),"Yes","No")</f>
        <v>No</v>
      </c>
    </row>
    <row r="19" spans="1:8" ht="14.25" customHeight="1">
      <c r="A19" s="4" t="s">
        <v>100</v>
      </c>
      <c r="B19" s="2" t="s">
        <v>98</v>
      </c>
      <c r="C19" s="2" t="s">
        <v>71</v>
      </c>
      <c r="D19" s="2" t="s">
        <v>72</v>
      </c>
      <c r="E19" s="47">
        <v>43523</v>
      </c>
      <c r="F19" s="40">
        <v>106449</v>
      </c>
      <c r="G19" s="15" t="str">
        <f t="shared" si="0"/>
        <v>yes</v>
      </c>
      <c r="H19" s="50" t="str">
        <f>IF(OR(Table3[[#This Row],[Dept]]="Sales",Table3[[#This Row],[Dept]]="IT"),"Yes","No")</f>
        <v>No</v>
      </c>
    </row>
    <row r="20" spans="1:8" ht="14.25" customHeight="1">
      <c r="A20" s="4" t="s">
        <v>101</v>
      </c>
      <c r="B20" s="2" t="s">
        <v>96</v>
      </c>
      <c r="C20" s="2" t="s">
        <v>78</v>
      </c>
      <c r="D20" s="2" t="s">
        <v>72</v>
      </c>
      <c r="E20" s="47">
        <v>43524</v>
      </c>
      <c r="F20" s="40">
        <v>117436</v>
      </c>
      <c r="G20" s="15" t="str">
        <f t="shared" si="0"/>
        <v>yes</v>
      </c>
      <c r="H20" s="50" t="str">
        <f>IF(OR(Table3[[#This Row],[Dept]]="Sales",Table3[[#This Row],[Dept]]="IT"),"Yes","No")</f>
        <v>No</v>
      </c>
    </row>
    <row r="21" spans="1:8" ht="14.25" customHeight="1">
      <c r="A21" s="4" t="s">
        <v>102</v>
      </c>
      <c r="B21" s="2" t="s">
        <v>70</v>
      </c>
      <c r="C21" s="2" t="s">
        <v>84</v>
      </c>
      <c r="D21" s="2" t="s">
        <v>72</v>
      </c>
      <c r="E21" s="47">
        <v>43525</v>
      </c>
      <c r="F21" s="40">
        <v>110655</v>
      </c>
      <c r="G21" s="15" t="str">
        <f t="shared" si="0"/>
        <v>yes</v>
      </c>
      <c r="H21" s="50" t="str">
        <f>IF(OR(Table3[[#This Row],[Dept]]="Sales",Table3[[#This Row],[Dept]]="IT"),"Yes","No")</f>
        <v>No</v>
      </c>
    </row>
    <row r="22" spans="1:8" ht="14.25" customHeight="1">
      <c r="A22" s="4" t="s">
        <v>103</v>
      </c>
      <c r="B22" s="2" t="s">
        <v>77</v>
      </c>
      <c r="C22" s="2" t="s">
        <v>104</v>
      </c>
      <c r="D22" s="2" t="s">
        <v>72</v>
      </c>
      <c r="E22" s="47">
        <v>43526</v>
      </c>
      <c r="F22" s="40">
        <v>104239</v>
      </c>
      <c r="G22" s="15" t="str">
        <f t="shared" si="0"/>
        <v>yes</v>
      </c>
      <c r="H22" s="50" t="str">
        <f>IF(OR(Table3[[#This Row],[Dept]]="Sales",Table3[[#This Row],[Dept]]="IT"),"Yes","No")</f>
        <v>No</v>
      </c>
    </row>
    <row r="23" spans="1:8" ht="14.25" customHeight="1">
      <c r="A23" s="4" t="s">
        <v>105</v>
      </c>
      <c r="B23" s="2" t="s">
        <v>86</v>
      </c>
      <c r="C23" s="2" t="s">
        <v>61</v>
      </c>
      <c r="D23" s="2" t="s">
        <v>72</v>
      </c>
      <c r="E23" s="47">
        <v>43527</v>
      </c>
      <c r="F23" s="40">
        <v>67101</v>
      </c>
      <c r="G23" s="15" t="str">
        <f t="shared" si="0"/>
        <v>No</v>
      </c>
      <c r="H23" s="50" t="str">
        <f>IF(OR(Table3[[#This Row],[Dept]]="Sales",Table3[[#This Row],[Dept]]="IT"),"Yes","No")</f>
        <v>No</v>
      </c>
    </row>
    <row r="24" spans="1:8" ht="14.25" customHeight="1">
      <c r="A24" s="4" t="s">
        <v>106</v>
      </c>
      <c r="B24" s="2" t="s">
        <v>63</v>
      </c>
      <c r="C24" s="2" t="s">
        <v>84</v>
      </c>
      <c r="D24" s="2" t="s">
        <v>72</v>
      </c>
      <c r="E24" s="47">
        <v>43528</v>
      </c>
      <c r="F24" s="40">
        <v>74376</v>
      </c>
      <c r="G24" s="15" t="str">
        <f t="shared" si="0"/>
        <v>No</v>
      </c>
      <c r="H24" s="50" t="str">
        <f>IF(OR(Table3[[#This Row],[Dept]]="Sales",Table3[[#This Row],[Dept]]="IT"),"Yes","No")</f>
        <v>No</v>
      </c>
    </row>
    <row r="25" spans="1:8" ht="14.25" customHeight="1">
      <c r="A25" s="4" t="s">
        <v>107</v>
      </c>
      <c r="B25" s="2" t="s">
        <v>108</v>
      </c>
      <c r="C25" s="2" t="s">
        <v>57</v>
      </c>
      <c r="D25" s="2" t="s">
        <v>72</v>
      </c>
      <c r="E25" s="47">
        <v>43529</v>
      </c>
      <c r="F25" s="40">
        <v>45128</v>
      </c>
      <c r="G25" s="15" t="str">
        <f t="shared" si="0"/>
        <v>No</v>
      </c>
      <c r="H25" s="50" t="str">
        <f>IF(OR(Table3[[#This Row],[Dept]]="Sales",Table3[[#This Row],[Dept]]="IT"),"Yes","No")</f>
        <v>No</v>
      </c>
    </row>
    <row r="26" spans="1:8" ht="14.25" customHeight="1">
      <c r="A26" s="4" t="s">
        <v>109</v>
      </c>
      <c r="B26" s="2" t="s">
        <v>108</v>
      </c>
      <c r="C26" s="2" t="s">
        <v>90</v>
      </c>
      <c r="D26" s="2" t="s">
        <v>72</v>
      </c>
      <c r="E26" s="47">
        <v>43530</v>
      </c>
      <c r="F26" s="40">
        <v>59387</v>
      </c>
      <c r="G26" s="15" t="str">
        <f t="shared" si="0"/>
        <v>No</v>
      </c>
      <c r="H26" s="50" t="str">
        <f>IF(OR(Table3[[#This Row],[Dept]]="Sales",Table3[[#This Row],[Dept]]="IT"),"Yes","No")</f>
        <v>No</v>
      </c>
    </row>
    <row r="27" spans="1:8" ht="14.25" customHeight="1">
      <c r="A27" s="4" t="s">
        <v>110</v>
      </c>
      <c r="B27" s="2" t="s">
        <v>77</v>
      </c>
      <c r="C27" s="2" t="s">
        <v>61</v>
      </c>
      <c r="D27" s="2" t="s">
        <v>72</v>
      </c>
      <c r="E27" s="47">
        <v>43531</v>
      </c>
      <c r="F27" s="40">
        <v>51614</v>
      </c>
      <c r="G27" s="15" t="str">
        <f t="shared" si="0"/>
        <v>No</v>
      </c>
      <c r="H27" s="50" t="str">
        <f>IF(OR(Table3[[#This Row],[Dept]]="Sales",Table3[[#This Row],[Dept]]="IT"),"Yes","No")</f>
        <v>No</v>
      </c>
    </row>
    <row r="28" spans="1:8" ht="14.25" customHeight="1">
      <c r="A28" s="4" t="s">
        <v>111</v>
      </c>
      <c r="B28" s="2" t="s">
        <v>70</v>
      </c>
      <c r="C28" s="2" t="s">
        <v>71</v>
      </c>
      <c r="D28" s="2" t="s">
        <v>72</v>
      </c>
      <c r="E28" s="47">
        <v>43532</v>
      </c>
      <c r="F28" s="40">
        <v>108524</v>
      </c>
      <c r="G28" s="15" t="str">
        <f t="shared" si="0"/>
        <v>yes</v>
      </c>
      <c r="H28" s="50" t="str">
        <f>IF(OR(Table3[[#This Row],[Dept]]="Sales",Table3[[#This Row],[Dept]]="IT"),"Yes","No")</f>
        <v>No</v>
      </c>
    </row>
    <row r="29" spans="1:8" ht="14.25" customHeight="1">
      <c r="A29" s="4" t="s">
        <v>112</v>
      </c>
      <c r="B29" s="2" t="s">
        <v>98</v>
      </c>
      <c r="C29" s="2" t="s">
        <v>99</v>
      </c>
      <c r="D29" s="2" t="s">
        <v>72</v>
      </c>
      <c r="E29" s="47">
        <v>43533</v>
      </c>
      <c r="F29" s="40">
        <v>25235</v>
      </c>
      <c r="G29" s="15" t="str">
        <f t="shared" si="0"/>
        <v>No</v>
      </c>
      <c r="H29" s="50" t="str">
        <f>IF(OR(Table3[[#This Row],[Dept]]="Sales",Table3[[#This Row],[Dept]]="IT"),"Yes","No")</f>
        <v>No</v>
      </c>
    </row>
    <row r="30" spans="1:8" ht="14.25" customHeight="1">
      <c r="A30" s="4" t="s">
        <v>113</v>
      </c>
      <c r="B30" s="2" t="s">
        <v>66</v>
      </c>
      <c r="C30" s="2" t="s">
        <v>78</v>
      </c>
      <c r="D30" s="2" t="s">
        <v>75</v>
      </c>
      <c r="E30" s="47">
        <v>43534</v>
      </c>
      <c r="F30" s="40">
        <v>102735</v>
      </c>
      <c r="G30" s="15" t="str">
        <f t="shared" si="0"/>
        <v>yes</v>
      </c>
      <c r="H30" s="50" t="str">
        <f>IF(OR(Table3[[#This Row],[Dept]]="Sales",Table3[[#This Row],[Dept]]="IT"),"Yes","No")</f>
        <v>No</v>
      </c>
    </row>
    <row r="31" spans="1:8" ht="14.25" customHeight="1">
      <c r="A31" s="4" t="s">
        <v>114</v>
      </c>
      <c r="B31" s="2" t="s">
        <v>74</v>
      </c>
      <c r="C31" s="2" t="s">
        <v>84</v>
      </c>
      <c r="D31" s="2" t="s">
        <v>75</v>
      </c>
      <c r="E31" s="47">
        <v>43535</v>
      </c>
      <c r="F31" s="40">
        <v>85004</v>
      </c>
      <c r="G31" s="15" t="str">
        <f t="shared" si="0"/>
        <v>yes</v>
      </c>
      <c r="H31" s="50" t="str">
        <f>IF(OR(Table3[[#This Row],[Dept]]="Sales",Table3[[#This Row],[Dept]]="IT"),"Yes","No")</f>
        <v>No</v>
      </c>
    </row>
    <row r="32" spans="1:8" ht="14.25" customHeight="1">
      <c r="A32" s="4" t="s">
        <v>115</v>
      </c>
      <c r="B32" s="2" t="s">
        <v>77</v>
      </c>
      <c r="C32" s="2" t="s">
        <v>90</v>
      </c>
      <c r="D32" s="2" t="s">
        <v>75</v>
      </c>
      <c r="E32" s="47">
        <v>43536</v>
      </c>
      <c r="F32" s="40">
        <v>81138</v>
      </c>
      <c r="G32" s="15" t="str">
        <f t="shared" si="0"/>
        <v>yes</v>
      </c>
      <c r="H32" s="50" t="str">
        <f>IF(OR(Table3[[#This Row],[Dept]]="Sales",Table3[[#This Row],[Dept]]="IT"),"Yes","No")</f>
        <v>No</v>
      </c>
    </row>
    <row r="33" spans="1:8" ht="14.25" customHeight="1">
      <c r="A33" s="4" t="s">
        <v>116</v>
      </c>
      <c r="B33" s="2" t="s">
        <v>86</v>
      </c>
      <c r="C33" s="2" t="s">
        <v>90</v>
      </c>
      <c r="D33" s="2" t="s">
        <v>75</v>
      </c>
      <c r="E33" s="47">
        <v>43537</v>
      </c>
      <c r="F33" s="40">
        <v>38918</v>
      </c>
      <c r="G33" s="15" t="str">
        <f t="shared" si="0"/>
        <v>No</v>
      </c>
      <c r="H33" s="50" t="str">
        <f>IF(OR(Table3[[#This Row],[Dept]]="Sales",Table3[[#This Row],[Dept]]="IT"),"Yes","No")</f>
        <v>No</v>
      </c>
    </row>
    <row r="34" spans="1:8" ht="14.25" customHeight="1">
      <c r="A34" s="4" t="s">
        <v>117</v>
      </c>
      <c r="B34" s="2" t="s">
        <v>86</v>
      </c>
      <c r="C34" s="2" t="s">
        <v>84</v>
      </c>
      <c r="D34" s="2" t="s">
        <v>75</v>
      </c>
      <c r="E34" s="47">
        <v>43538</v>
      </c>
      <c r="F34" s="40">
        <v>29324</v>
      </c>
      <c r="G34" s="15" t="str">
        <f t="shared" si="0"/>
        <v>No</v>
      </c>
      <c r="H34" s="50" t="str">
        <f>IF(OR(Table3[[#This Row],[Dept]]="Sales",Table3[[#This Row],[Dept]]="IT"),"Yes","No")</f>
        <v>No</v>
      </c>
    </row>
    <row r="35" spans="1:8" ht="14.25" customHeight="1">
      <c r="A35" s="4" t="s">
        <v>118</v>
      </c>
      <c r="B35" s="2" t="s">
        <v>108</v>
      </c>
      <c r="C35" s="2" t="s">
        <v>61</v>
      </c>
      <c r="D35" s="2" t="s">
        <v>75</v>
      </c>
      <c r="E35" s="47">
        <v>43539</v>
      </c>
      <c r="F35" s="40">
        <v>66427</v>
      </c>
      <c r="G35" s="15" t="str">
        <f t="shared" si="0"/>
        <v>No</v>
      </c>
      <c r="H35" s="50" t="str">
        <f>IF(OR(Table3[[#This Row],[Dept]]="Sales",Table3[[#This Row],[Dept]]="IT"),"Yes","No")</f>
        <v>No</v>
      </c>
    </row>
    <row r="36" spans="1:8" ht="14.25" customHeight="1">
      <c r="A36" s="4" t="s">
        <v>119</v>
      </c>
      <c r="B36" s="2" t="s">
        <v>63</v>
      </c>
      <c r="C36" s="2" t="s">
        <v>90</v>
      </c>
      <c r="D36" s="2" t="s">
        <v>75</v>
      </c>
      <c r="E36" s="47">
        <v>43540</v>
      </c>
      <c r="F36" s="40">
        <v>53746</v>
      </c>
      <c r="G36" s="15" t="str">
        <f t="shared" si="0"/>
        <v>No</v>
      </c>
      <c r="H36" s="50" t="str">
        <f>IF(OR(Table3[[#This Row],[Dept]]="Sales",Table3[[#This Row],[Dept]]="IT"),"Yes","No")</f>
        <v>No</v>
      </c>
    </row>
    <row r="37" spans="1:8" ht="14.25" customHeight="1">
      <c r="A37" s="4" t="s">
        <v>120</v>
      </c>
      <c r="B37" s="2" t="s">
        <v>66</v>
      </c>
      <c r="C37" s="2" t="s">
        <v>90</v>
      </c>
      <c r="D37" s="2" t="s">
        <v>75</v>
      </c>
      <c r="E37" s="47">
        <v>43541</v>
      </c>
      <c r="F37" s="40">
        <v>112886</v>
      </c>
      <c r="G37" s="15" t="str">
        <f t="shared" si="0"/>
        <v>yes</v>
      </c>
      <c r="H37" s="50" t="str">
        <f>IF(OR(Table3[[#This Row],[Dept]]="Sales",Table3[[#This Row],[Dept]]="IT"),"Yes","No")</f>
        <v>No</v>
      </c>
    </row>
    <row r="38" spans="1:8" ht="14.25" customHeight="1">
      <c r="A38" s="4" t="s">
        <v>121</v>
      </c>
      <c r="B38" s="2" t="s">
        <v>63</v>
      </c>
      <c r="C38" s="2" t="s">
        <v>90</v>
      </c>
      <c r="D38" s="2" t="s">
        <v>75</v>
      </c>
      <c r="E38" s="47">
        <v>43542</v>
      </c>
      <c r="F38" s="40">
        <v>25846</v>
      </c>
      <c r="G38" s="15" t="str">
        <f t="shared" si="0"/>
        <v>No</v>
      </c>
      <c r="H38" s="50" t="str">
        <f>IF(OR(Table3[[#This Row],[Dept]]="Sales",Table3[[#This Row],[Dept]]="IT"),"Yes","No")</f>
        <v>No</v>
      </c>
    </row>
    <row r="39" spans="1:8" ht="14.25" customHeight="1">
      <c r="A39" s="4" t="s">
        <v>122</v>
      </c>
      <c r="B39" s="2" t="s">
        <v>98</v>
      </c>
      <c r="C39" s="2" t="s">
        <v>90</v>
      </c>
      <c r="D39" s="2" t="s">
        <v>75</v>
      </c>
      <c r="E39" s="47">
        <v>43543</v>
      </c>
      <c r="F39" s="40">
        <v>71514</v>
      </c>
      <c r="G39" s="15" t="str">
        <f t="shared" si="0"/>
        <v>No</v>
      </c>
      <c r="H39" s="50" t="str">
        <f>IF(OR(Table3[[#This Row],[Dept]]="Sales",Table3[[#This Row],[Dept]]="IT"),"Yes","No")</f>
        <v>No</v>
      </c>
    </row>
    <row r="40" spans="1:8" ht="14.25" customHeight="1">
      <c r="A40" s="4" t="s">
        <v>123</v>
      </c>
      <c r="B40" s="2" t="s">
        <v>56</v>
      </c>
      <c r="C40" s="2" t="s">
        <v>104</v>
      </c>
      <c r="D40" s="2" t="s">
        <v>75</v>
      </c>
      <c r="E40" s="47">
        <v>43544</v>
      </c>
      <c r="F40" s="40">
        <v>113236</v>
      </c>
      <c r="G40" s="15" t="str">
        <f t="shared" si="0"/>
        <v>yes</v>
      </c>
      <c r="H40" s="50" t="str">
        <f>IF(OR(Table3[[#This Row],[Dept]]="Sales",Table3[[#This Row],[Dept]]="IT"),"Yes","No")</f>
        <v>No</v>
      </c>
    </row>
    <row r="41" spans="1:8" ht="14.25" customHeight="1">
      <c r="A41" s="4" t="s">
        <v>124</v>
      </c>
      <c r="B41" s="2" t="s">
        <v>125</v>
      </c>
      <c r="C41" s="2" t="s">
        <v>71</v>
      </c>
      <c r="D41" s="2" t="s">
        <v>75</v>
      </c>
      <c r="E41" s="47">
        <v>43545</v>
      </c>
      <c r="F41" s="40">
        <v>64809</v>
      </c>
      <c r="G41" s="15" t="str">
        <f t="shared" si="0"/>
        <v>No</v>
      </c>
      <c r="H41" s="50" t="str">
        <f>IF(OR(Table3[[#This Row],[Dept]]="Sales",Table3[[#This Row],[Dept]]="IT"),"Yes","No")</f>
        <v>No</v>
      </c>
    </row>
    <row r="42" spans="1:8" ht="14.25" customHeight="1">
      <c r="A42" s="4" t="s">
        <v>126</v>
      </c>
      <c r="B42" s="2" t="s">
        <v>60</v>
      </c>
      <c r="C42" s="2" t="s">
        <v>92</v>
      </c>
      <c r="D42" s="2" t="s">
        <v>75</v>
      </c>
      <c r="E42" s="47">
        <v>43546</v>
      </c>
      <c r="F42" s="40">
        <v>26342</v>
      </c>
      <c r="G42" s="15" t="str">
        <f t="shared" si="0"/>
        <v>No</v>
      </c>
      <c r="H42" s="50" t="str">
        <f>IF(OR(Table3[[#This Row],[Dept]]="Sales",Table3[[#This Row],[Dept]]="IT"),"Yes","No")</f>
        <v>No</v>
      </c>
    </row>
    <row r="43" spans="1:8" ht="14.25" customHeight="1">
      <c r="A43" s="4" t="s">
        <v>127</v>
      </c>
      <c r="B43" s="2" t="s">
        <v>128</v>
      </c>
      <c r="C43" s="2" t="s">
        <v>78</v>
      </c>
      <c r="D43" s="2" t="s">
        <v>75</v>
      </c>
      <c r="E43" s="47">
        <v>43547</v>
      </c>
      <c r="F43" s="40">
        <v>88076</v>
      </c>
      <c r="G43" s="15" t="str">
        <f t="shared" si="0"/>
        <v>yes</v>
      </c>
      <c r="H43" s="50" t="str">
        <f>IF(OR(Table3[[#This Row],[Dept]]="Sales",Table3[[#This Row],[Dept]]="IT"),"Yes","No")</f>
        <v>No</v>
      </c>
    </row>
    <row r="44" spans="1:8" ht="14.25" customHeight="1">
      <c r="A44" s="4" t="s">
        <v>129</v>
      </c>
      <c r="B44" s="2" t="s">
        <v>66</v>
      </c>
      <c r="C44" s="2" t="s">
        <v>57</v>
      </c>
      <c r="D44" s="2" t="s">
        <v>75</v>
      </c>
      <c r="E44" s="47">
        <v>43548</v>
      </c>
      <c r="F44" s="40">
        <v>61258</v>
      </c>
      <c r="G44" s="15" t="str">
        <f t="shared" si="0"/>
        <v>No</v>
      </c>
      <c r="H44" s="50" t="str">
        <f>IF(OR(Table3[[#This Row],[Dept]]="Sales",Table3[[#This Row],[Dept]]="IT"),"Yes","No")</f>
        <v>No</v>
      </c>
    </row>
    <row r="45" spans="1:8" ht="14.25" customHeight="1">
      <c r="A45" s="4" t="s">
        <v>130</v>
      </c>
      <c r="B45" s="2" t="s">
        <v>131</v>
      </c>
      <c r="C45" s="2" t="s">
        <v>90</v>
      </c>
      <c r="D45" s="2" t="s">
        <v>75</v>
      </c>
      <c r="E45" s="47">
        <v>43549</v>
      </c>
      <c r="F45" s="40">
        <v>118789</v>
      </c>
      <c r="G45" s="15" t="str">
        <f t="shared" si="0"/>
        <v>yes</v>
      </c>
      <c r="H45" s="50" t="str">
        <f>IF(OR(Table3[[#This Row],[Dept]]="Sales",Table3[[#This Row],[Dept]]="IT"),"Yes","No")</f>
        <v>No</v>
      </c>
    </row>
    <row r="46" spans="1:8" ht="14.25" customHeight="1">
      <c r="A46" s="4" t="s">
        <v>132</v>
      </c>
      <c r="B46" s="2" t="s">
        <v>133</v>
      </c>
      <c r="C46" s="2" t="s">
        <v>78</v>
      </c>
      <c r="D46" s="2" t="s">
        <v>75</v>
      </c>
      <c r="E46" s="47">
        <v>43550</v>
      </c>
      <c r="F46" s="40">
        <v>37219</v>
      </c>
      <c r="G46" s="15" t="str">
        <f t="shared" si="0"/>
        <v>No</v>
      </c>
      <c r="H46" s="50" t="str">
        <f>IF(OR(Table3[[#This Row],[Dept]]="Sales",Table3[[#This Row],[Dept]]="IT"),"Yes","No")</f>
        <v>No</v>
      </c>
    </row>
    <row r="47" spans="1:8" ht="14.25" customHeight="1">
      <c r="A47" s="4" t="s">
        <v>134</v>
      </c>
      <c r="B47" s="2" t="s">
        <v>77</v>
      </c>
      <c r="C47" s="2" t="s">
        <v>78</v>
      </c>
      <c r="D47" s="2" t="s">
        <v>75</v>
      </c>
      <c r="E47" s="47">
        <v>43551</v>
      </c>
      <c r="F47" s="40">
        <v>33567</v>
      </c>
      <c r="G47" s="15" t="str">
        <f t="shared" si="0"/>
        <v>No</v>
      </c>
      <c r="H47" s="50" t="str">
        <f>IF(OR(Table3[[#This Row],[Dept]]="Sales",Table3[[#This Row],[Dept]]="IT"),"Yes","No")</f>
        <v>No</v>
      </c>
    </row>
    <row r="48" spans="1:8" ht="14.25" customHeight="1">
      <c r="A48" s="4" t="s">
        <v>135</v>
      </c>
      <c r="B48" s="2" t="s">
        <v>133</v>
      </c>
      <c r="C48" s="2" t="s">
        <v>104</v>
      </c>
      <c r="D48" s="2" t="s">
        <v>79</v>
      </c>
      <c r="E48" s="47">
        <v>43552</v>
      </c>
      <c r="F48" s="40">
        <v>59529</v>
      </c>
      <c r="G48" s="15" t="str">
        <f t="shared" si="0"/>
        <v>No</v>
      </c>
      <c r="H48" s="50" t="str">
        <f>IF(OR(Table3[[#This Row],[Dept]]="Sales",Table3[[#This Row],[Dept]]="IT"),"Yes","No")</f>
        <v>Yes</v>
      </c>
    </row>
    <row r="49" spans="1:8" ht="14.25" customHeight="1">
      <c r="A49" s="4" t="s">
        <v>136</v>
      </c>
      <c r="B49" s="2" t="s">
        <v>60</v>
      </c>
      <c r="C49" s="2" t="s">
        <v>84</v>
      </c>
      <c r="D49" s="2" t="s">
        <v>79</v>
      </c>
      <c r="E49" s="47">
        <v>43553</v>
      </c>
      <c r="F49" s="40">
        <v>101090</v>
      </c>
      <c r="G49" s="15" t="str">
        <f t="shared" si="0"/>
        <v>yes</v>
      </c>
      <c r="H49" s="50" t="str">
        <f>IF(OR(Table3[[#This Row],[Dept]]="Sales",Table3[[#This Row],[Dept]]="IT"),"Yes","No")</f>
        <v>Yes</v>
      </c>
    </row>
    <row r="50" spans="1:8" ht="14.25" customHeight="1">
      <c r="A50" s="4" t="s">
        <v>137</v>
      </c>
      <c r="B50" s="2" t="s">
        <v>83</v>
      </c>
      <c r="C50" s="2" t="s">
        <v>78</v>
      </c>
      <c r="D50" s="2" t="s">
        <v>79</v>
      </c>
      <c r="E50" s="47">
        <v>43554</v>
      </c>
      <c r="F50" s="40">
        <v>52285</v>
      </c>
      <c r="G50" s="15" t="str">
        <f t="shared" si="0"/>
        <v>No</v>
      </c>
      <c r="H50" s="50" t="str">
        <f>IF(OR(Table3[[#This Row],[Dept]]="Sales",Table3[[#This Row],[Dept]]="IT"),"Yes","No")</f>
        <v>Yes</v>
      </c>
    </row>
    <row r="51" spans="1:8" ht="14.25" customHeight="1">
      <c r="A51" s="4" t="s">
        <v>138</v>
      </c>
      <c r="B51" s="2" t="s">
        <v>89</v>
      </c>
      <c r="C51" s="2" t="s">
        <v>78</v>
      </c>
      <c r="D51" s="2" t="s">
        <v>79</v>
      </c>
      <c r="E51" s="47">
        <v>43555</v>
      </c>
      <c r="F51" s="40">
        <v>26605</v>
      </c>
      <c r="G51" s="15" t="str">
        <f t="shared" si="0"/>
        <v>No</v>
      </c>
      <c r="H51" s="50" t="str">
        <f>IF(OR(Table3[[#This Row],[Dept]]="Sales",Table3[[#This Row],[Dept]]="IT"),"Yes","No")</f>
        <v>Yes</v>
      </c>
    </row>
    <row r="52" spans="1:8" ht="14.25" customHeight="1">
      <c r="A52" s="4" t="s">
        <v>139</v>
      </c>
      <c r="B52" s="2" t="s">
        <v>70</v>
      </c>
      <c r="C52" s="2" t="s">
        <v>57</v>
      </c>
      <c r="D52" s="2" t="s">
        <v>79</v>
      </c>
      <c r="E52" s="47">
        <v>43556</v>
      </c>
      <c r="F52" s="40">
        <v>52446</v>
      </c>
      <c r="G52" s="15" t="str">
        <f t="shared" si="0"/>
        <v>No</v>
      </c>
      <c r="H52" s="50" t="str">
        <f>IF(OR(Table3[[#This Row],[Dept]]="Sales",Table3[[#This Row],[Dept]]="IT"),"Yes","No")</f>
        <v>Yes</v>
      </c>
    </row>
    <row r="53" spans="1:8" ht="14.25" customHeight="1">
      <c r="A53" s="4" t="s">
        <v>140</v>
      </c>
      <c r="B53" s="2" t="s">
        <v>56</v>
      </c>
      <c r="C53" s="2" t="s">
        <v>99</v>
      </c>
      <c r="D53" s="2" t="s">
        <v>79</v>
      </c>
      <c r="E53" s="47">
        <v>43557</v>
      </c>
      <c r="F53" s="40">
        <v>49818</v>
      </c>
      <c r="G53" s="15" t="str">
        <f t="shared" si="0"/>
        <v>No</v>
      </c>
      <c r="H53" s="50" t="str">
        <f>IF(OR(Table3[[#This Row],[Dept]]="Sales",Table3[[#This Row],[Dept]]="IT"),"Yes","No")</f>
        <v>Yes</v>
      </c>
    </row>
    <row r="54" spans="1:8" ht="14.25" customHeight="1">
      <c r="A54" s="4" t="s">
        <v>141</v>
      </c>
      <c r="B54" s="2" t="s">
        <v>70</v>
      </c>
      <c r="C54" s="2" t="s">
        <v>90</v>
      </c>
      <c r="D54" s="2" t="s">
        <v>79</v>
      </c>
      <c r="E54" s="47">
        <v>43558</v>
      </c>
      <c r="F54" s="40">
        <v>34111</v>
      </c>
      <c r="G54" s="15" t="str">
        <f t="shared" si="0"/>
        <v>No</v>
      </c>
      <c r="H54" s="50" t="str">
        <f>IF(OR(Table3[[#This Row],[Dept]]="Sales",Table3[[#This Row],[Dept]]="IT"),"Yes","No")</f>
        <v>Yes</v>
      </c>
    </row>
    <row r="55" spans="1:8" ht="14.25" customHeight="1">
      <c r="A55" s="4" t="s">
        <v>142</v>
      </c>
      <c r="B55" s="2" t="s">
        <v>83</v>
      </c>
      <c r="C55" s="2" t="s">
        <v>57</v>
      </c>
      <c r="D55" s="2" t="s">
        <v>79</v>
      </c>
      <c r="E55" s="47">
        <v>43559</v>
      </c>
      <c r="F55" s="40">
        <v>104579</v>
      </c>
      <c r="G55" s="15" t="str">
        <f t="shared" si="0"/>
        <v>yes</v>
      </c>
      <c r="H55" s="50" t="str">
        <f>IF(OR(Table3[[#This Row],[Dept]]="Sales",Table3[[#This Row],[Dept]]="IT"),"Yes","No")</f>
        <v>Yes</v>
      </c>
    </row>
    <row r="56" spans="1:8" ht="14.25" customHeight="1">
      <c r="A56" s="4" t="s">
        <v>143</v>
      </c>
      <c r="B56" s="2" t="s">
        <v>144</v>
      </c>
      <c r="C56" s="2" t="s">
        <v>104</v>
      </c>
      <c r="D56" s="2" t="s">
        <v>79</v>
      </c>
      <c r="E56" s="47">
        <v>43560</v>
      </c>
      <c r="F56" s="40">
        <v>35954</v>
      </c>
      <c r="G56" s="15" t="str">
        <f t="shared" si="0"/>
        <v>No</v>
      </c>
      <c r="H56" s="50" t="str">
        <f>IF(OR(Table3[[#This Row],[Dept]]="Sales",Table3[[#This Row],[Dept]]="IT"),"Yes","No")</f>
        <v>Yes</v>
      </c>
    </row>
    <row r="57" spans="1:8" ht="14.25" customHeight="1">
      <c r="A57" s="4" t="s">
        <v>145</v>
      </c>
      <c r="B57" s="2" t="s">
        <v>89</v>
      </c>
      <c r="C57" s="2" t="s">
        <v>78</v>
      </c>
      <c r="D57" s="2" t="s">
        <v>79</v>
      </c>
      <c r="E57" s="47">
        <v>43561</v>
      </c>
      <c r="F57" s="40">
        <v>83067</v>
      </c>
      <c r="G57" s="15" t="str">
        <f t="shared" si="0"/>
        <v>yes</v>
      </c>
      <c r="H57" s="50" t="str">
        <f>IF(OR(Table3[[#This Row],[Dept]]="Sales",Table3[[#This Row],[Dept]]="IT"),"Yes","No")</f>
        <v>Yes</v>
      </c>
    </row>
    <row r="58" spans="1:8" ht="14.25" customHeight="1">
      <c r="A58" s="4" t="s">
        <v>146</v>
      </c>
      <c r="B58" s="2" t="s">
        <v>147</v>
      </c>
      <c r="C58" s="2" t="s">
        <v>99</v>
      </c>
      <c r="D58" s="2" t="s">
        <v>79</v>
      </c>
      <c r="E58" s="47">
        <v>43562</v>
      </c>
      <c r="F58" s="40">
        <v>61976</v>
      </c>
      <c r="G58" s="15" t="str">
        <f t="shared" si="0"/>
        <v>No</v>
      </c>
      <c r="H58" s="50" t="str">
        <f>IF(OR(Table3[[#This Row],[Dept]]="Sales",Table3[[#This Row],[Dept]]="IT"),"Yes","No")</f>
        <v>Yes</v>
      </c>
    </row>
    <row r="59" spans="1:8" ht="14.25" customHeight="1">
      <c r="A59" s="4" t="s">
        <v>148</v>
      </c>
      <c r="B59" s="2" t="s">
        <v>131</v>
      </c>
      <c r="C59" s="2" t="s">
        <v>78</v>
      </c>
      <c r="D59" s="2" t="s">
        <v>79</v>
      </c>
      <c r="E59" s="47">
        <v>43563</v>
      </c>
      <c r="F59" s="40">
        <v>103477</v>
      </c>
      <c r="G59" s="15" t="str">
        <f t="shared" si="0"/>
        <v>yes</v>
      </c>
      <c r="H59" s="50" t="str">
        <f>IF(OR(Table3[[#This Row],[Dept]]="Sales",Table3[[#This Row],[Dept]]="IT"),"Yes","No")</f>
        <v>Yes</v>
      </c>
    </row>
    <row r="60" spans="1:8" ht="14.25" customHeight="1">
      <c r="A60" s="4" t="s">
        <v>149</v>
      </c>
      <c r="B60" s="2" t="s">
        <v>66</v>
      </c>
      <c r="C60" s="2" t="s">
        <v>92</v>
      </c>
      <c r="D60" s="2" t="s">
        <v>79</v>
      </c>
      <c r="E60" s="47">
        <v>43564</v>
      </c>
      <c r="F60" s="40">
        <v>90545</v>
      </c>
      <c r="G60" s="15" t="str">
        <f t="shared" si="0"/>
        <v>yes</v>
      </c>
      <c r="H60" s="50" t="str">
        <f>IF(OR(Table3[[#This Row],[Dept]]="Sales",Table3[[#This Row],[Dept]]="IT"),"Yes","No")</f>
        <v>Yes</v>
      </c>
    </row>
    <row r="61" spans="1:8" ht="14.25" customHeight="1">
      <c r="A61" s="4" t="s">
        <v>150</v>
      </c>
      <c r="B61" s="2" t="s">
        <v>56</v>
      </c>
      <c r="C61" s="2" t="s">
        <v>78</v>
      </c>
      <c r="D61" s="2" t="s">
        <v>79</v>
      </c>
      <c r="E61" s="47">
        <v>43565</v>
      </c>
      <c r="F61" s="40">
        <v>107180</v>
      </c>
      <c r="G61" s="15" t="str">
        <f t="shared" si="0"/>
        <v>yes</v>
      </c>
      <c r="H61" s="50" t="str">
        <f>IF(OR(Table3[[#This Row],[Dept]]="Sales",Table3[[#This Row],[Dept]]="IT"),"Yes","No")</f>
        <v>Yes</v>
      </c>
    </row>
    <row r="62" spans="1:8" ht="14.25" customHeight="1">
      <c r="A62" s="4" t="s">
        <v>151</v>
      </c>
      <c r="B62" s="2" t="s">
        <v>83</v>
      </c>
      <c r="C62" s="2" t="s">
        <v>90</v>
      </c>
      <c r="D62" s="2" t="s">
        <v>79</v>
      </c>
      <c r="E62" s="47">
        <v>43566</v>
      </c>
      <c r="F62" s="40">
        <v>33512</v>
      </c>
      <c r="G62" s="15" t="str">
        <f t="shared" si="0"/>
        <v>No</v>
      </c>
      <c r="H62" s="50" t="str">
        <f>IF(OR(Table3[[#This Row],[Dept]]="Sales",Table3[[#This Row],[Dept]]="IT"),"Yes","No")</f>
        <v>Yes</v>
      </c>
    </row>
    <row r="63" spans="1:8" ht="14.25" customHeight="1">
      <c r="A63" s="4" t="s">
        <v>152</v>
      </c>
      <c r="B63" s="2" t="s">
        <v>98</v>
      </c>
      <c r="C63" s="2" t="s">
        <v>92</v>
      </c>
      <c r="D63" s="2" t="s">
        <v>79</v>
      </c>
      <c r="E63" s="47">
        <v>43567</v>
      </c>
      <c r="F63" s="40">
        <v>118070</v>
      </c>
      <c r="G63" s="15" t="str">
        <f t="shared" si="0"/>
        <v>yes</v>
      </c>
      <c r="H63" s="50" t="str">
        <f>IF(OR(Table3[[#This Row],[Dept]]="Sales",Table3[[#This Row],[Dept]]="IT"),"Yes","No")</f>
        <v>Yes</v>
      </c>
    </row>
    <row r="64" spans="1:8" ht="14.25" customHeight="1">
      <c r="A64" s="4" t="s">
        <v>153</v>
      </c>
      <c r="B64" s="2" t="s">
        <v>128</v>
      </c>
      <c r="C64" s="2" t="s">
        <v>99</v>
      </c>
      <c r="D64" s="2" t="s">
        <v>79</v>
      </c>
      <c r="E64" s="47">
        <v>43568</v>
      </c>
      <c r="F64" s="40">
        <v>67929</v>
      </c>
      <c r="G64" s="15" t="str">
        <f t="shared" si="0"/>
        <v>No</v>
      </c>
      <c r="H64" s="50" t="str">
        <f>IF(OR(Table3[[#This Row],[Dept]]="Sales",Table3[[#This Row],[Dept]]="IT"),"Yes","No")</f>
        <v>Yes</v>
      </c>
    </row>
    <row r="65" spans="1:8" ht="14.25" customHeight="1">
      <c r="A65" s="4" t="s">
        <v>154</v>
      </c>
      <c r="B65" s="2" t="s">
        <v>131</v>
      </c>
      <c r="C65" s="2" t="s">
        <v>104</v>
      </c>
      <c r="D65" s="2" t="s">
        <v>79</v>
      </c>
      <c r="E65" s="47">
        <v>43569</v>
      </c>
      <c r="F65" s="40">
        <v>90441</v>
      </c>
      <c r="G65" s="15" t="str">
        <f t="shared" si="0"/>
        <v>yes</v>
      </c>
      <c r="H65" s="50" t="str">
        <f>IF(OR(Table3[[#This Row],[Dept]]="Sales",Table3[[#This Row],[Dept]]="IT"),"Yes","No")</f>
        <v>Yes</v>
      </c>
    </row>
    <row r="66" spans="1:8" ht="14.25" customHeight="1">
      <c r="A66" s="4" t="s">
        <v>155</v>
      </c>
      <c r="B66" s="2" t="s">
        <v>60</v>
      </c>
      <c r="C66" s="2" t="s">
        <v>104</v>
      </c>
      <c r="D66" s="2" t="s">
        <v>81</v>
      </c>
      <c r="E66" s="47">
        <v>43570</v>
      </c>
      <c r="F66" s="40">
        <v>31371</v>
      </c>
      <c r="G66" s="15" t="str">
        <f t="shared" si="0"/>
        <v>No</v>
      </c>
      <c r="H66" s="50" t="str">
        <f>IF(OR(Table3[[#This Row],[Dept]]="Sales",Table3[[#This Row],[Dept]]="IT"),"Yes","No")</f>
        <v>No</v>
      </c>
    </row>
    <row r="67" spans="1:8" ht="14.25" customHeight="1">
      <c r="A67" s="4" t="s">
        <v>156</v>
      </c>
      <c r="B67" s="2" t="s">
        <v>86</v>
      </c>
      <c r="C67" s="2" t="s">
        <v>57</v>
      </c>
      <c r="D67" s="2" t="s">
        <v>81</v>
      </c>
      <c r="E67" s="47">
        <v>43571</v>
      </c>
      <c r="F67" s="40">
        <v>48275</v>
      </c>
      <c r="G67" s="15" t="str">
        <f t="shared" ref="G67:G101" si="1">IF(F67&gt;75000,"yes","No")</f>
        <v>No</v>
      </c>
      <c r="H67" s="50" t="str">
        <f>IF(OR(Table3[[#This Row],[Dept]]="Sales",Table3[[#This Row],[Dept]]="IT"),"Yes","No")</f>
        <v>No</v>
      </c>
    </row>
    <row r="68" spans="1:8" ht="14.25" customHeight="1">
      <c r="A68" s="4" t="s">
        <v>157</v>
      </c>
      <c r="B68" s="2" t="s">
        <v>125</v>
      </c>
      <c r="C68" s="2" t="s">
        <v>71</v>
      </c>
      <c r="D68" s="2" t="s">
        <v>81</v>
      </c>
      <c r="E68" s="47">
        <v>43572</v>
      </c>
      <c r="F68" s="40">
        <v>97303</v>
      </c>
      <c r="G68" s="15" t="str">
        <f t="shared" si="1"/>
        <v>yes</v>
      </c>
      <c r="H68" s="50" t="str">
        <f>IF(OR(Table3[[#This Row],[Dept]]="Sales",Table3[[#This Row],[Dept]]="IT"),"Yes","No")</f>
        <v>No</v>
      </c>
    </row>
    <row r="69" spans="1:8" ht="14.25" customHeight="1">
      <c r="A69" s="4" t="s">
        <v>158</v>
      </c>
      <c r="B69" s="2" t="s">
        <v>131</v>
      </c>
      <c r="C69" s="2" t="s">
        <v>99</v>
      </c>
      <c r="D69" s="2" t="s">
        <v>81</v>
      </c>
      <c r="E69" s="47">
        <v>43573</v>
      </c>
      <c r="F69" s="40">
        <v>102149</v>
      </c>
      <c r="G69" s="15" t="str">
        <f t="shared" si="1"/>
        <v>yes</v>
      </c>
      <c r="H69" s="50" t="str">
        <f>IF(OR(Table3[[#This Row],[Dept]]="Sales",Table3[[#This Row],[Dept]]="IT"),"Yes","No")</f>
        <v>No</v>
      </c>
    </row>
    <row r="70" spans="1:8" ht="14.25" customHeight="1">
      <c r="A70" s="4" t="s">
        <v>159</v>
      </c>
      <c r="B70" s="2" t="s">
        <v>131</v>
      </c>
      <c r="C70" s="2" t="s">
        <v>84</v>
      </c>
      <c r="D70" s="2" t="s">
        <v>81</v>
      </c>
      <c r="E70" s="47">
        <v>43574</v>
      </c>
      <c r="F70" s="40">
        <v>38046</v>
      </c>
      <c r="G70" s="15" t="str">
        <f t="shared" si="1"/>
        <v>No</v>
      </c>
      <c r="H70" s="50" t="str">
        <f>IF(OR(Table3[[#This Row],[Dept]]="Sales",Table3[[#This Row],[Dept]]="IT"),"Yes","No")</f>
        <v>No</v>
      </c>
    </row>
    <row r="71" spans="1:8" ht="14.25" customHeight="1">
      <c r="A71" s="4" t="s">
        <v>160</v>
      </c>
      <c r="B71" s="2" t="s">
        <v>108</v>
      </c>
      <c r="C71" s="2" t="s">
        <v>71</v>
      </c>
      <c r="D71" s="2" t="s">
        <v>81</v>
      </c>
      <c r="E71" s="47">
        <v>43575</v>
      </c>
      <c r="F71" s="40">
        <v>101323</v>
      </c>
      <c r="G71" s="15" t="str">
        <f t="shared" si="1"/>
        <v>yes</v>
      </c>
      <c r="H71" s="50" t="str">
        <f>IF(OR(Table3[[#This Row],[Dept]]="Sales",Table3[[#This Row],[Dept]]="IT"),"Yes","No")</f>
        <v>No</v>
      </c>
    </row>
    <row r="72" spans="1:8" ht="14.25" customHeight="1">
      <c r="A72" s="4" t="s">
        <v>161</v>
      </c>
      <c r="B72" s="2" t="s">
        <v>56</v>
      </c>
      <c r="C72" s="2" t="s">
        <v>57</v>
      </c>
      <c r="D72" s="2" t="s">
        <v>81</v>
      </c>
      <c r="E72" s="47">
        <v>43576</v>
      </c>
      <c r="F72" s="40">
        <v>25117</v>
      </c>
      <c r="G72" s="15" t="str">
        <f t="shared" si="1"/>
        <v>No</v>
      </c>
      <c r="H72" s="50" t="str">
        <f>IF(OR(Table3[[#This Row],[Dept]]="Sales",Table3[[#This Row],[Dept]]="IT"),"Yes","No")</f>
        <v>No</v>
      </c>
    </row>
    <row r="73" spans="1:8" ht="14.25" customHeight="1">
      <c r="A73" s="4" t="s">
        <v>162</v>
      </c>
      <c r="B73" s="2" t="s">
        <v>66</v>
      </c>
      <c r="C73" s="2" t="s">
        <v>78</v>
      </c>
      <c r="D73" s="2" t="s">
        <v>81</v>
      </c>
      <c r="E73" s="47">
        <v>43577</v>
      </c>
      <c r="F73" s="40">
        <v>109471</v>
      </c>
      <c r="G73" s="15" t="str">
        <f t="shared" si="1"/>
        <v>yes</v>
      </c>
      <c r="H73" s="50" t="str">
        <f>IF(OR(Table3[[#This Row],[Dept]]="Sales",Table3[[#This Row],[Dept]]="IT"),"Yes","No")</f>
        <v>No</v>
      </c>
    </row>
    <row r="74" spans="1:8" ht="14.25" customHeight="1">
      <c r="A74" s="4" t="s">
        <v>163</v>
      </c>
      <c r="B74" s="2" t="s">
        <v>133</v>
      </c>
      <c r="C74" s="2" t="s">
        <v>67</v>
      </c>
      <c r="D74" s="2" t="s">
        <v>81</v>
      </c>
      <c r="E74" s="47">
        <v>43578</v>
      </c>
      <c r="F74" s="40">
        <v>89323</v>
      </c>
      <c r="G74" s="15" t="str">
        <f t="shared" si="1"/>
        <v>yes</v>
      </c>
      <c r="H74" s="50" t="str">
        <f>IF(OR(Table3[[#This Row],[Dept]]="Sales",Table3[[#This Row],[Dept]]="IT"),"Yes","No")</f>
        <v>No</v>
      </c>
    </row>
    <row r="75" spans="1:8" ht="14.25" customHeight="1">
      <c r="A75" s="4" t="s">
        <v>164</v>
      </c>
      <c r="B75" s="2" t="s">
        <v>165</v>
      </c>
      <c r="C75" s="2" t="s">
        <v>90</v>
      </c>
      <c r="D75" s="2" t="s">
        <v>81</v>
      </c>
      <c r="E75" s="47">
        <v>43579</v>
      </c>
      <c r="F75" s="40">
        <v>116922</v>
      </c>
      <c r="G75" s="15" t="str">
        <f t="shared" si="1"/>
        <v>yes</v>
      </c>
      <c r="H75" s="50" t="str">
        <f>IF(OR(Table3[[#This Row],[Dept]]="Sales",Table3[[#This Row],[Dept]]="IT"),"Yes","No")</f>
        <v>No</v>
      </c>
    </row>
    <row r="76" spans="1:8" ht="14.25" customHeight="1">
      <c r="A76" s="4" t="s">
        <v>166</v>
      </c>
      <c r="B76" s="2" t="s">
        <v>128</v>
      </c>
      <c r="C76" s="2" t="s">
        <v>71</v>
      </c>
      <c r="D76" s="2" t="s">
        <v>81</v>
      </c>
      <c r="E76" s="47">
        <v>43580</v>
      </c>
      <c r="F76" s="40">
        <v>70587</v>
      </c>
      <c r="G76" s="15" t="str">
        <f t="shared" si="1"/>
        <v>No</v>
      </c>
      <c r="H76" s="50" t="str">
        <f>IF(OR(Table3[[#This Row],[Dept]]="Sales",Table3[[#This Row],[Dept]]="IT"),"Yes","No")</f>
        <v>No</v>
      </c>
    </row>
    <row r="77" spans="1:8" ht="14.25" customHeight="1">
      <c r="A77" s="4" t="s">
        <v>167</v>
      </c>
      <c r="B77" s="2" t="s">
        <v>74</v>
      </c>
      <c r="C77" s="2" t="s">
        <v>104</v>
      </c>
      <c r="D77" s="2" t="s">
        <v>81</v>
      </c>
      <c r="E77" s="47">
        <v>43581</v>
      </c>
      <c r="F77" s="40">
        <v>67533</v>
      </c>
      <c r="G77" s="15" t="str">
        <f t="shared" si="1"/>
        <v>No</v>
      </c>
      <c r="H77" s="50" t="str">
        <f>IF(OR(Table3[[#This Row],[Dept]]="Sales",Table3[[#This Row],[Dept]]="IT"),"Yes","No")</f>
        <v>No</v>
      </c>
    </row>
    <row r="78" spans="1:8" ht="14.25" customHeight="1">
      <c r="A78" s="4" t="s">
        <v>168</v>
      </c>
      <c r="B78" s="2" t="s">
        <v>144</v>
      </c>
      <c r="C78" s="2" t="s">
        <v>84</v>
      </c>
      <c r="D78" s="2" t="s">
        <v>81</v>
      </c>
      <c r="E78" s="47">
        <v>43582</v>
      </c>
      <c r="F78" s="40">
        <v>57254</v>
      </c>
      <c r="G78" s="15" t="str">
        <f t="shared" si="1"/>
        <v>No</v>
      </c>
      <c r="H78" s="50" t="str">
        <f>IF(OR(Table3[[#This Row],[Dept]]="Sales",Table3[[#This Row],[Dept]]="IT"),"Yes","No")</f>
        <v>No</v>
      </c>
    </row>
    <row r="79" spans="1:8" ht="14.25" customHeight="1">
      <c r="A79" s="4" t="s">
        <v>169</v>
      </c>
      <c r="B79" s="2" t="s">
        <v>66</v>
      </c>
      <c r="C79" s="2" t="s">
        <v>71</v>
      </c>
      <c r="D79" s="2" t="s">
        <v>81</v>
      </c>
      <c r="E79" s="47">
        <v>43583</v>
      </c>
      <c r="F79" s="40">
        <v>112958</v>
      </c>
      <c r="G79" s="15" t="str">
        <f t="shared" si="1"/>
        <v>yes</v>
      </c>
      <c r="H79" s="50" t="str">
        <f>IF(OR(Table3[[#This Row],[Dept]]="Sales",Table3[[#This Row],[Dept]]="IT"),"Yes","No")</f>
        <v>No</v>
      </c>
    </row>
    <row r="80" spans="1:8" ht="14.25" customHeight="1">
      <c r="A80" s="4" t="s">
        <v>170</v>
      </c>
      <c r="B80" s="2" t="s">
        <v>63</v>
      </c>
      <c r="C80" s="2" t="s">
        <v>104</v>
      </c>
      <c r="D80" s="2" t="s">
        <v>81</v>
      </c>
      <c r="E80" s="47">
        <v>43584</v>
      </c>
      <c r="F80" s="40">
        <v>44216</v>
      </c>
      <c r="G80" s="15" t="str">
        <f t="shared" si="1"/>
        <v>No</v>
      </c>
      <c r="H80" s="50" t="str">
        <f>IF(OR(Table3[[#This Row],[Dept]]="Sales",Table3[[#This Row],[Dept]]="IT"),"Yes","No")</f>
        <v>No</v>
      </c>
    </row>
    <row r="81" spans="1:8" ht="14.25" customHeight="1">
      <c r="A81" s="4" t="s">
        <v>171</v>
      </c>
      <c r="B81" s="2" t="s">
        <v>133</v>
      </c>
      <c r="C81" s="2" t="s">
        <v>104</v>
      </c>
      <c r="D81" s="2" t="s">
        <v>81</v>
      </c>
      <c r="E81" s="47">
        <v>43585</v>
      </c>
      <c r="F81" s="40">
        <v>104767</v>
      </c>
      <c r="G81" s="15" t="str">
        <f t="shared" si="1"/>
        <v>yes</v>
      </c>
      <c r="H81" s="50" t="str">
        <f>IF(OR(Table3[[#This Row],[Dept]]="Sales",Table3[[#This Row],[Dept]]="IT"),"Yes","No")</f>
        <v>No</v>
      </c>
    </row>
    <row r="82" spans="1:8" ht="14.25" customHeight="1">
      <c r="A82" s="4" t="s">
        <v>172</v>
      </c>
      <c r="B82" s="2" t="s">
        <v>89</v>
      </c>
      <c r="C82" s="2" t="s">
        <v>92</v>
      </c>
      <c r="D82" s="2" t="s">
        <v>9</v>
      </c>
      <c r="E82" s="47">
        <v>43586</v>
      </c>
      <c r="F82" s="40">
        <v>51069</v>
      </c>
      <c r="G82" s="15" t="str">
        <f t="shared" si="1"/>
        <v>No</v>
      </c>
      <c r="H82" s="50" t="str">
        <f>IF(OR(Table3[[#This Row],[Dept]]="Sales",Table3[[#This Row],[Dept]]="IT"),"Yes","No")</f>
        <v>Yes</v>
      </c>
    </row>
    <row r="83" spans="1:8" ht="14.25" customHeight="1">
      <c r="A83" s="4" t="s">
        <v>173</v>
      </c>
      <c r="B83" s="2" t="s">
        <v>86</v>
      </c>
      <c r="C83" s="2" t="s">
        <v>57</v>
      </c>
      <c r="D83" s="2" t="s">
        <v>9</v>
      </c>
      <c r="E83" s="47">
        <v>43587</v>
      </c>
      <c r="F83" s="40">
        <v>104905</v>
      </c>
      <c r="G83" s="15" t="str">
        <f t="shared" si="1"/>
        <v>yes</v>
      </c>
      <c r="H83" s="50" t="str">
        <f>IF(OR(Table3[[#This Row],[Dept]]="Sales",Table3[[#This Row],[Dept]]="IT"),"Yes","No")</f>
        <v>Yes</v>
      </c>
    </row>
    <row r="84" spans="1:8" ht="14.25" customHeight="1">
      <c r="A84" s="4" t="s">
        <v>174</v>
      </c>
      <c r="B84" s="2" t="s">
        <v>74</v>
      </c>
      <c r="C84" s="2" t="s">
        <v>57</v>
      </c>
      <c r="D84" s="2" t="s">
        <v>9</v>
      </c>
      <c r="E84" s="47">
        <v>43588</v>
      </c>
      <c r="F84" s="40">
        <v>37910</v>
      </c>
      <c r="G84" s="15" t="str">
        <f t="shared" si="1"/>
        <v>No</v>
      </c>
      <c r="H84" s="50" t="str">
        <f>IF(OR(Table3[[#This Row],[Dept]]="Sales",Table3[[#This Row],[Dept]]="IT"),"Yes","No")</f>
        <v>Yes</v>
      </c>
    </row>
    <row r="85" spans="1:8" ht="14.25" customHeight="1">
      <c r="A85" s="4" t="s">
        <v>175</v>
      </c>
      <c r="B85" s="2" t="s">
        <v>89</v>
      </c>
      <c r="C85" s="2" t="s">
        <v>78</v>
      </c>
      <c r="D85" s="2" t="s">
        <v>9</v>
      </c>
      <c r="E85" s="47">
        <v>43589</v>
      </c>
      <c r="F85" s="40">
        <v>98479</v>
      </c>
      <c r="G85" s="15" t="str">
        <f t="shared" si="1"/>
        <v>yes</v>
      </c>
      <c r="H85" s="50" t="str">
        <f>IF(OR(Table3[[#This Row],[Dept]]="Sales",Table3[[#This Row],[Dept]]="IT"),"Yes","No")</f>
        <v>Yes</v>
      </c>
    </row>
    <row r="86" spans="1:8" ht="14.25" customHeight="1">
      <c r="A86" s="4" t="s">
        <v>176</v>
      </c>
      <c r="B86" s="2" t="s">
        <v>60</v>
      </c>
      <c r="C86" s="2" t="s">
        <v>99</v>
      </c>
      <c r="D86" s="2" t="s">
        <v>9</v>
      </c>
      <c r="E86" s="47">
        <v>43590</v>
      </c>
      <c r="F86" s="40">
        <v>106264</v>
      </c>
      <c r="G86" s="15" t="str">
        <f t="shared" si="1"/>
        <v>yes</v>
      </c>
      <c r="H86" s="50" t="str">
        <f>IF(OR(Table3[[#This Row],[Dept]]="Sales",Table3[[#This Row],[Dept]]="IT"),"Yes","No")</f>
        <v>Yes</v>
      </c>
    </row>
    <row r="87" spans="1:8" ht="14.25" customHeight="1">
      <c r="A87" s="4" t="s">
        <v>177</v>
      </c>
      <c r="B87" s="2" t="s">
        <v>144</v>
      </c>
      <c r="C87" s="2" t="s">
        <v>99</v>
      </c>
      <c r="D87" s="2" t="s">
        <v>9</v>
      </c>
      <c r="E87" s="47">
        <v>43591</v>
      </c>
      <c r="F87" s="40">
        <v>87981</v>
      </c>
      <c r="G87" s="15" t="str">
        <f t="shared" si="1"/>
        <v>yes</v>
      </c>
      <c r="H87" s="50" t="str">
        <f>IF(OR(Table3[[#This Row],[Dept]]="Sales",Table3[[#This Row],[Dept]]="IT"),"Yes","No")</f>
        <v>Yes</v>
      </c>
    </row>
    <row r="88" spans="1:8" ht="14.25" customHeight="1">
      <c r="A88" s="4" t="s">
        <v>178</v>
      </c>
      <c r="B88" s="2" t="s">
        <v>63</v>
      </c>
      <c r="C88" s="2" t="s">
        <v>67</v>
      </c>
      <c r="D88" s="2" t="s">
        <v>9</v>
      </c>
      <c r="E88" s="47">
        <v>43592</v>
      </c>
      <c r="F88" s="40">
        <v>109659</v>
      </c>
      <c r="G88" s="15" t="str">
        <f t="shared" si="1"/>
        <v>yes</v>
      </c>
      <c r="H88" s="50" t="str">
        <f>IF(OR(Table3[[#This Row],[Dept]]="Sales",Table3[[#This Row],[Dept]]="IT"),"Yes","No")</f>
        <v>Yes</v>
      </c>
    </row>
    <row r="89" spans="1:8" ht="14.25" customHeight="1">
      <c r="A89" s="4" t="s">
        <v>179</v>
      </c>
      <c r="B89" s="2" t="s">
        <v>70</v>
      </c>
      <c r="C89" s="2" t="s">
        <v>84</v>
      </c>
      <c r="D89" s="2" t="s">
        <v>9</v>
      </c>
      <c r="E89" s="47">
        <v>43593</v>
      </c>
      <c r="F89" s="40">
        <v>79553</v>
      </c>
      <c r="G89" s="15" t="str">
        <f t="shared" si="1"/>
        <v>yes</v>
      </c>
      <c r="H89" s="50" t="str">
        <f>IF(OR(Table3[[#This Row],[Dept]]="Sales",Table3[[#This Row],[Dept]]="IT"),"Yes","No")</f>
        <v>Yes</v>
      </c>
    </row>
    <row r="90" spans="1:8" ht="14.25" customHeight="1">
      <c r="A90" s="4" t="s">
        <v>180</v>
      </c>
      <c r="B90" s="2" t="s">
        <v>96</v>
      </c>
      <c r="C90" s="2" t="s">
        <v>78</v>
      </c>
      <c r="D90" s="2" t="s">
        <v>9</v>
      </c>
      <c r="E90" s="47">
        <v>43594</v>
      </c>
      <c r="F90" s="40">
        <v>42260</v>
      </c>
      <c r="G90" s="15" t="str">
        <f t="shared" si="1"/>
        <v>No</v>
      </c>
      <c r="H90" s="50" t="str">
        <f>IF(OR(Table3[[#This Row],[Dept]]="Sales",Table3[[#This Row],[Dept]]="IT"),"Yes","No")</f>
        <v>Yes</v>
      </c>
    </row>
    <row r="91" spans="1:8" ht="14.25" customHeight="1">
      <c r="A91" s="4" t="s">
        <v>181</v>
      </c>
      <c r="B91" s="2" t="s">
        <v>133</v>
      </c>
      <c r="C91" s="2" t="s">
        <v>67</v>
      </c>
      <c r="D91" s="2" t="s">
        <v>9</v>
      </c>
      <c r="E91" s="47">
        <v>43595</v>
      </c>
      <c r="F91" s="40">
        <v>28812</v>
      </c>
      <c r="G91" s="15" t="str">
        <f t="shared" si="1"/>
        <v>No</v>
      </c>
      <c r="H91" s="50" t="str">
        <f>IF(OR(Table3[[#This Row],[Dept]]="Sales",Table3[[#This Row],[Dept]]="IT"),"Yes","No")</f>
        <v>Yes</v>
      </c>
    </row>
    <row r="92" spans="1:8" ht="14.25" customHeight="1">
      <c r="A92" s="4" t="s">
        <v>182</v>
      </c>
      <c r="B92" s="2" t="s">
        <v>144</v>
      </c>
      <c r="C92" s="2" t="s">
        <v>90</v>
      </c>
      <c r="D92" s="2" t="s">
        <v>9</v>
      </c>
      <c r="E92" s="47">
        <v>43596</v>
      </c>
      <c r="F92" s="40">
        <v>41389</v>
      </c>
      <c r="G92" s="15" t="str">
        <f t="shared" si="1"/>
        <v>No</v>
      </c>
      <c r="H92" s="50" t="str">
        <f>IF(OR(Table3[[#This Row],[Dept]]="Sales",Table3[[#This Row],[Dept]]="IT"),"Yes","No")</f>
        <v>Yes</v>
      </c>
    </row>
    <row r="93" spans="1:8" ht="14.25" customHeight="1">
      <c r="A93" s="4" t="s">
        <v>183</v>
      </c>
      <c r="B93" s="2" t="s">
        <v>165</v>
      </c>
      <c r="C93" s="2" t="s">
        <v>104</v>
      </c>
      <c r="D93" s="2" t="s">
        <v>9</v>
      </c>
      <c r="E93" s="47">
        <v>43597</v>
      </c>
      <c r="F93" s="40">
        <v>38234</v>
      </c>
      <c r="G93" s="15" t="str">
        <f t="shared" si="1"/>
        <v>No</v>
      </c>
      <c r="H93" s="50" t="str">
        <f>IF(OR(Table3[[#This Row],[Dept]]="Sales",Table3[[#This Row],[Dept]]="IT"),"Yes","No")</f>
        <v>Yes</v>
      </c>
    </row>
    <row r="94" spans="1:8" ht="14.25" customHeight="1">
      <c r="A94" s="4" t="s">
        <v>184</v>
      </c>
      <c r="B94" s="2" t="s">
        <v>89</v>
      </c>
      <c r="C94" s="2" t="s">
        <v>78</v>
      </c>
      <c r="D94" s="2" t="s">
        <v>9</v>
      </c>
      <c r="E94" s="47">
        <v>43598</v>
      </c>
      <c r="F94" s="40">
        <v>31469</v>
      </c>
      <c r="G94" s="15" t="str">
        <f t="shared" si="1"/>
        <v>No</v>
      </c>
      <c r="H94" s="50" t="str">
        <f>IF(OR(Table3[[#This Row],[Dept]]="Sales",Table3[[#This Row],[Dept]]="IT"),"Yes","No")</f>
        <v>Yes</v>
      </c>
    </row>
    <row r="95" spans="1:8" ht="14.25" customHeight="1">
      <c r="A95" s="4" t="s">
        <v>185</v>
      </c>
      <c r="B95" s="2" t="s">
        <v>86</v>
      </c>
      <c r="C95" s="2" t="s">
        <v>92</v>
      </c>
      <c r="D95" s="2" t="s">
        <v>9</v>
      </c>
      <c r="E95" s="47">
        <v>43599</v>
      </c>
      <c r="F95" s="40">
        <v>26828</v>
      </c>
      <c r="G95" s="15" t="str">
        <f t="shared" si="1"/>
        <v>No</v>
      </c>
      <c r="H95" s="50" t="str">
        <f>IF(OR(Table3[[#This Row],[Dept]]="Sales",Table3[[#This Row],[Dept]]="IT"),"Yes","No")</f>
        <v>Yes</v>
      </c>
    </row>
    <row r="96" spans="1:8" ht="14.25" customHeight="1">
      <c r="A96" s="4" t="s">
        <v>186</v>
      </c>
      <c r="B96" s="2" t="s">
        <v>66</v>
      </c>
      <c r="C96" s="2" t="s">
        <v>99</v>
      </c>
      <c r="D96" s="2" t="s">
        <v>9</v>
      </c>
      <c r="E96" s="47">
        <v>43600</v>
      </c>
      <c r="F96" s="40">
        <v>26917</v>
      </c>
      <c r="G96" s="15" t="str">
        <f t="shared" si="1"/>
        <v>No</v>
      </c>
      <c r="H96" s="50" t="str">
        <f>IF(OR(Table3[[#This Row],[Dept]]="Sales",Table3[[#This Row],[Dept]]="IT"),"Yes","No")</f>
        <v>Yes</v>
      </c>
    </row>
    <row r="97" spans="1:8" ht="14.25" customHeight="1">
      <c r="A97" s="4" t="s">
        <v>187</v>
      </c>
      <c r="B97" s="2" t="s">
        <v>98</v>
      </c>
      <c r="C97" s="2" t="s">
        <v>84</v>
      </c>
      <c r="D97" s="2" t="s">
        <v>9</v>
      </c>
      <c r="E97" s="47">
        <v>43601</v>
      </c>
      <c r="F97" s="40">
        <v>45618</v>
      </c>
      <c r="G97" s="15" t="str">
        <f t="shared" si="1"/>
        <v>No</v>
      </c>
      <c r="H97" s="50" t="str">
        <f>IF(OR(Table3[[#This Row],[Dept]]="Sales",Table3[[#This Row],[Dept]]="IT"),"Yes","No")</f>
        <v>Yes</v>
      </c>
    </row>
    <row r="98" spans="1:8" ht="14.25" customHeight="1">
      <c r="A98" s="4" t="s">
        <v>188</v>
      </c>
      <c r="B98" s="2" t="s">
        <v>56</v>
      </c>
      <c r="C98" s="2" t="s">
        <v>90</v>
      </c>
      <c r="D98" s="2" t="s">
        <v>9</v>
      </c>
      <c r="E98" s="47">
        <v>43602</v>
      </c>
      <c r="F98" s="40">
        <v>72362</v>
      </c>
      <c r="G98" s="15" t="str">
        <f t="shared" si="1"/>
        <v>No</v>
      </c>
      <c r="H98" s="50" t="str">
        <f>IF(OR(Table3[[#This Row],[Dept]]="Sales",Table3[[#This Row],[Dept]]="IT"),"Yes","No")</f>
        <v>Yes</v>
      </c>
    </row>
    <row r="99" spans="1:8" ht="14.25" customHeight="1">
      <c r="A99" s="4" t="s">
        <v>189</v>
      </c>
      <c r="B99" s="2" t="s">
        <v>70</v>
      </c>
      <c r="C99" s="2" t="s">
        <v>67</v>
      </c>
      <c r="D99" s="2" t="s">
        <v>9</v>
      </c>
      <c r="E99" s="47">
        <v>43603</v>
      </c>
      <c r="F99" s="40">
        <v>34865</v>
      </c>
      <c r="G99" s="15" t="str">
        <f t="shared" si="1"/>
        <v>No</v>
      </c>
      <c r="H99" s="50" t="str">
        <f>IF(OR(Table3[[#This Row],[Dept]]="Sales",Table3[[#This Row],[Dept]]="IT"),"Yes","No")</f>
        <v>Yes</v>
      </c>
    </row>
    <row r="100" spans="1:8" ht="14.25" customHeight="1">
      <c r="A100" s="4" t="s">
        <v>190</v>
      </c>
      <c r="B100" s="2" t="s">
        <v>144</v>
      </c>
      <c r="C100" s="2" t="s">
        <v>99</v>
      </c>
      <c r="D100" s="2" t="s">
        <v>9</v>
      </c>
      <c r="E100" s="47">
        <v>43604</v>
      </c>
      <c r="F100" s="40">
        <v>27219</v>
      </c>
      <c r="G100" s="15" t="str">
        <f t="shared" si="1"/>
        <v>No</v>
      </c>
      <c r="H100" s="50" t="str">
        <f>IF(OR(Table3[[#This Row],[Dept]]="Sales",Table3[[#This Row],[Dept]]="IT"),"Yes","No")</f>
        <v>Yes</v>
      </c>
    </row>
    <row r="101" spans="1:8" ht="14.25" customHeight="1">
      <c r="A101" s="5" t="s">
        <v>191</v>
      </c>
      <c r="B101" s="6" t="s">
        <v>96</v>
      </c>
      <c r="C101" s="6" t="s">
        <v>78</v>
      </c>
      <c r="D101" s="6" t="s">
        <v>9</v>
      </c>
      <c r="E101" s="47">
        <v>43605</v>
      </c>
      <c r="F101" s="41">
        <v>92444</v>
      </c>
      <c r="G101" s="15" t="str">
        <f t="shared" si="1"/>
        <v>yes</v>
      </c>
      <c r="H101" s="50" t="str">
        <f>IF(OR(Table3[[#This Row],[Dept]]="Sales",Table3[[#This Row],[Dept]]="IT"),"Yes","No")</f>
        <v>Yes</v>
      </c>
    </row>
    <row r="102" spans="1:8" ht="14.25" customHeight="1">
      <c r="A102" s="5"/>
      <c r="B102" s="6"/>
      <c r="C102" s="6"/>
      <c r="D102" s="6"/>
      <c r="E102" s="6"/>
      <c r="F102" s="41">
        <f>SUM(Table3[Salary])</f>
        <v>7030484</v>
      </c>
      <c r="G102" s="6"/>
      <c r="H102" s="6"/>
    </row>
    <row r="103" spans="1:8" ht="14.25" customHeight="1"/>
    <row r="104" spans="1:8" ht="14.25" customHeight="1"/>
    <row r="105" spans="1:8" ht="14.25" customHeight="1"/>
    <row r="106" spans="1:8" ht="14.25" customHeight="1"/>
    <row r="107" spans="1:8" ht="14.25" customHeight="1"/>
    <row r="108" spans="1:8" ht="14.25" customHeight="1"/>
    <row r="109" spans="1:8" ht="14.25" customHeight="1"/>
    <row r="110" spans="1:8" ht="14.25" customHeight="1"/>
    <row r="111" spans="1:8" ht="14.25" customHeight="1"/>
    <row r="112" spans="1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2:F101">
    <cfRule type="cellIs" dxfId="61" priority="1" operator="lessThan">
      <formula>30000</formula>
    </cfRule>
  </conditionalFormatting>
  <pageMargins left="0.75" right="0.75" top="1" bottom="1" header="0" footer="0"/>
  <pageSetup orientation="landscape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selection activeCell="B19" sqref="B19"/>
    </sheetView>
  </sheetViews>
  <sheetFormatPr defaultColWidth="14.42578125" defaultRowHeight="15" customHeight="1"/>
  <cols>
    <col min="1" max="1" width="8.7109375" customWidth="1"/>
    <col min="2" max="2" width="56.7109375" customWidth="1"/>
    <col min="3" max="3" width="11.140625" bestFit="1" customWidth="1"/>
    <col min="4" max="26" width="8.7109375" customWidth="1"/>
  </cols>
  <sheetData>
    <row r="1" spans="1:3" ht="14.25" customHeight="1">
      <c r="A1" s="1" t="s">
        <v>25</v>
      </c>
      <c r="B1" s="1" t="s">
        <v>26</v>
      </c>
    </row>
    <row r="2" spans="1:3" ht="14.25" customHeight="1">
      <c r="A2" s="1">
        <v>1</v>
      </c>
      <c r="B2" s="1" t="s">
        <v>192</v>
      </c>
    </row>
    <row r="3" spans="1:3" ht="14.25" customHeight="1">
      <c r="A3" s="1">
        <v>2</v>
      </c>
      <c r="B3" s="1" t="s">
        <v>193</v>
      </c>
      <c r="C3" s="37">
        <v>46088</v>
      </c>
    </row>
    <row r="4" spans="1:3" ht="14.25" customHeight="1">
      <c r="A4" s="1">
        <v>3</v>
      </c>
      <c r="B4" s="1" t="s">
        <v>194</v>
      </c>
    </row>
    <row r="5" spans="1:3" ht="14.25" customHeight="1">
      <c r="A5" s="1">
        <v>4</v>
      </c>
      <c r="B5" s="1" t="s">
        <v>195</v>
      </c>
    </row>
    <row r="6" spans="1:3" ht="14.25" customHeight="1">
      <c r="A6" s="1">
        <v>5</v>
      </c>
      <c r="B6" s="1" t="s">
        <v>196</v>
      </c>
    </row>
    <row r="7" spans="1:3" ht="14.25" customHeight="1">
      <c r="A7" s="1">
        <v>6</v>
      </c>
      <c r="B7" s="1" t="s">
        <v>197</v>
      </c>
    </row>
    <row r="8" spans="1:3" ht="14.25" customHeight="1">
      <c r="A8" s="1">
        <v>7</v>
      </c>
      <c r="B8" s="1" t="s">
        <v>198</v>
      </c>
    </row>
    <row r="9" spans="1:3" ht="14.25" customHeight="1">
      <c r="A9" s="1">
        <v>8</v>
      </c>
      <c r="B9" s="1" t="s">
        <v>199</v>
      </c>
    </row>
    <row r="10" spans="1:3" ht="14.25" customHeight="1">
      <c r="A10" s="1">
        <v>9</v>
      </c>
      <c r="B10" s="1" t="s">
        <v>200</v>
      </c>
    </row>
    <row r="11" spans="1:3" ht="14.25" customHeight="1">
      <c r="A11" s="1">
        <v>10</v>
      </c>
      <c r="B11" s="1" t="s">
        <v>201</v>
      </c>
    </row>
    <row r="12" spans="1:3" ht="14.25" customHeight="1">
      <c r="A12" s="1">
        <v>11</v>
      </c>
      <c r="B12" s="1" t="s">
        <v>202</v>
      </c>
    </row>
    <row r="13" spans="1:3" ht="14.25" customHeight="1">
      <c r="A13" s="1">
        <v>12</v>
      </c>
      <c r="B13" s="1" t="s">
        <v>203</v>
      </c>
    </row>
    <row r="14" spans="1:3" ht="14.25" customHeight="1">
      <c r="A14" s="1">
        <v>13</v>
      </c>
      <c r="B14" s="1" t="s">
        <v>204</v>
      </c>
    </row>
    <row r="15" spans="1:3" ht="14.25" customHeight="1">
      <c r="A15" s="1">
        <v>14</v>
      </c>
      <c r="B15" s="1" t="s">
        <v>205</v>
      </c>
    </row>
    <row r="16" spans="1:3" ht="14.25" customHeight="1">
      <c r="A16" s="1">
        <v>15</v>
      </c>
      <c r="B16" s="1" t="s">
        <v>206</v>
      </c>
    </row>
    <row r="17" spans="1:2" ht="14.25" customHeight="1">
      <c r="A17" s="1">
        <v>16</v>
      </c>
      <c r="B17" s="1" t="s">
        <v>207</v>
      </c>
    </row>
    <row r="18" spans="1:2" ht="14.25" customHeight="1">
      <c r="A18" s="1">
        <v>17</v>
      </c>
      <c r="B18" s="1" t="s">
        <v>208</v>
      </c>
    </row>
    <row r="19" spans="1:2" ht="14.25" customHeight="1">
      <c r="A19" s="1">
        <v>18</v>
      </c>
      <c r="B19" s="1" t="s">
        <v>209</v>
      </c>
    </row>
    <row r="20" spans="1:2" ht="14.25" customHeight="1">
      <c r="A20" s="1">
        <v>19</v>
      </c>
      <c r="B20" s="1" t="s">
        <v>210</v>
      </c>
    </row>
    <row r="21" spans="1:2" ht="14.25" customHeight="1">
      <c r="A21" s="1">
        <v>20</v>
      </c>
      <c r="B21" s="1" t="s">
        <v>211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9C23-4779-4F36-9FB2-663C2A07FDBA}">
  <dimension ref="B2:B102"/>
  <sheetViews>
    <sheetView topLeftCell="U1" workbookViewId="0">
      <selection activeCell="B2" sqref="B2:B102"/>
    </sheetView>
  </sheetViews>
  <sheetFormatPr defaultRowHeight="15"/>
  <cols>
    <col min="2" max="2" width="9.85546875" bestFit="1" customWidth="1"/>
  </cols>
  <sheetData>
    <row r="2" spans="2:2">
      <c r="B2" t="s">
        <v>50</v>
      </c>
    </row>
    <row r="3" spans="2:2">
      <c r="B3" t="s">
        <v>58</v>
      </c>
    </row>
    <row r="4" spans="2:2">
      <c r="B4" t="s">
        <v>81</v>
      </c>
    </row>
    <row r="5" spans="2:2">
      <c r="B5" t="s">
        <v>9</v>
      </c>
    </row>
    <row r="6" spans="2:2">
      <c r="B6" t="s">
        <v>9</v>
      </c>
    </row>
    <row r="7" spans="2:2">
      <c r="B7" t="s">
        <v>9</v>
      </c>
    </row>
    <row r="8" spans="2:2">
      <c r="B8" t="s">
        <v>9</v>
      </c>
    </row>
    <row r="9" spans="2:2">
      <c r="B9" t="s">
        <v>212</v>
      </c>
    </row>
    <row r="10" spans="2:2">
      <c r="B10" t="s">
        <v>9</v>
      </c>
    </row>
    <row r="11" spans="2:2">
      <c r="B11" t="s">
        <v>81</v>
      </c>
    </row>
    <row r="12" spans="2:2">
      <c r="B12" t="s">
        <v>72</v>
      </c>
    </row>
    <row r="13" spans="2:2">
      <c r="B13" t="s">
        <v>72</v>
      </c>
    </row>
    <row r="14" spans="2:2">
      <c r="B14" t="s">
        <v>212</v>
      </c>
    </row>
    <row r="15" spans="2:2">
      <c r="B15" t="s">
        <v>9</v>
      </c>
    </row>
    <row r="16" spans="2:2">
      <c r="B16" t="s">
        <v>9</v>
      </c>
    </row>
    <row r="17" spans="2:2">
      <c r="B17" t="s">
        <v>9</v>
      </c>
    </row>
    <row r="18" spans="2:2">
      <c r="B18" t="s">
        <v>58</v>
      </c>
    </row>
    <row r="19" spans="2:2">
      <c r="B19" t="s">
        <v>79</v>
      </c>
    </row>
    <row r="20" spans="2:2">
      <c r="B20" t="s">
        <v>58</v>
      </c>
    </row>
    <row r="21" spans="2:2">
      <c r="B21" t="s">
        <v>79</v>
      </c>
    </row>
    <row r="22" spans="2:2">
      <c r="B22" t="s">
        <v>9</v>
      </c>
    </row>
    <row r="23" spans="2:2">
      <c r="B23" t="s">
        <v>9</v>
      </c>
    </row>
    <row r="24" spans="2:2">
      <c r="B24" t="s">
        <v>58</v>
      </c>
    </row>
    <row r="25" spans="2:2">
      <c r="B25" t="s">
        <v>58</v>
      </c>
    </row>
    <row r="26" spans="2:2">
      <c r="B26" t="s">
        <v>79</v>
      </c>
    </row>
    <row r="27" spans="2:2">
      <c r="B27" t="s">
        <v>72</v>
      </c>
    </row>
    <row r="28" spans="2:2">
      <c r="B28" t="s">
        <v>79</v>
      </c>
    </row>
    <row r="29" spans="2:2">
      <c r="B29" t="s">
        <v>58</v>
      </c>
    </row>
    <row r="30" spans="2:2">
      <c r="B30" t="s">
        <v>81</v>
      </c>
    </row>
    <row r="31" spans="2:2">
      <c r="B31" t="s">
        <v>58</v>
      </c>
    </row>
    <row r="32" spans="2:2">
      <c r="B32" t="s">
        <v>81</v>
      </c>
    </row>
    <row r="33" spans="2:2">
      <c r="B33" t="s">
        <v>212</v>
      </c>
    </row>
    <row r="34" spans="2:2">
      <c r="B34" t="s">
        <v>58</v>
      </c>
    </row>
    <row r="35" spans="2:2">
      <c r="B35" t="s">
        <v>212</v>
      </c>
    </row>
    <row r="36" spans="2:2">
      <c r="B36" t="s">
        <v>72</v>
      </c>
    </row>
    <row r="37" spans="2:2">
      <c r="B37" t="s">
        <v>79</v>
      </c>
    </row>
    <row r="38" spans="2:2">
      <c r="B38" t="s">
        <v>81</v>
      </c>
    </row>
    <row r="39" spans="2:2">
      <c r="B39" t="s">
        <v>79</v>
      </c>
    </row>
    <row r="40" spans="2:2">
      <c r="B40" t="s">
        <v>212</v>
      </c>
    </row>
    <row r="41" spans="2:2">
      <c r="B41" t="s">
        <v>81</v>
      </c>
    </row>
    <row r="42" spans="2:2">
      <c r="B42" t="s">
        <v>79</v>
      </c>
    </row>
    <row r="43" spans="2:2">
      <c r="B43" t="s">
        <v>58</v>
      </c>
    </row>
    <row r="44" spans="2:2">
      <c r="B44" t="s">
        <v>9</v>
      </c>
    </row>
    <row r="45" spans="2:2">
      <c r="B45" t="s">
        <v>212</v>
      </c>
    </row>
    <row r="46" spans="2:2">
      <c r="B46" t="s">
        <v>79</v>
      </c>
    </row>
    <row r="47" spans="2:2">
      <c r="B47" t="s">
        <v>212</v>
      </c>
    </row>
    <row r="48" spans="2:2">
      <c r="B48" t="s">
        <v>212</v>
      </c>
    </row>
    <row r="49" spans="2:2">
      <c r="B49" t="s">
        <v>81</v>
      </c>
    </row>
    <row r="50" spans="2:2">
      <c r="B50" t="s">
        <v>81</v>
      </c>
    </row>
    <row r="51" spans="2:2">
      <c r="B51" t="s">
        <v>9</v>
      </c>
    </row>
    <row r="52" spans="2:2">
      <c r="B52" t="s">
        <v>58</v>
      </c>
    </row>
    <row r="53" spans="2:2">
      <c r="B53" t="s">
        <v>212</v>
      </c>
    </row>
    <row r="54" spans="2:2">
      <c r="B54" t="s">
        <v>79</v>
      </c>
    </row>
    <row r="55" spans="2:2">
      <c r="B55" t="s">
        <v>72</v>
      </c>
    </row>
    <row r="56" spans="2:2">
      <c r="B56" t="s">
        <v>212</v>
      </c>
    </row>
    <row r="57" spans="2:2">
      <c r="B57" t="s">
        <v>212</v>
      </c>
    </row>
    <row r="58" spans="2:2">
      <c r="B58" t="s">
        <v>9</v>
      </c>
    </row>
    <row r="59" spans="2:2">
      <c r="B59" t="s">
        <v>58</v>
      </c>
    </row>
    <row r="60" spans="2:2">
      <c r="B60" t="s">
        <v>72</v>
      </c>
    </row>
    <row r="61" spans="2:2">
      <c r="B61" t="s">
        <v>81</v>
      </c>
    </row>
    <row r="62" spans="2:2">
      <c r="B62" t="s">
        <v>81</v>
      </c>
    </row>
    <row r="63" spans="2:2">
      <c r="B63" t="s">
        <v>79</v>
      </c>
    </row>
    <row r="64" spans="2:2">
      <c r="B64" t="s">
        <v>72</v>
      </c>
    </row>
    <row r="65" spans="2:2">
      <c r="B65" t="s">
        <v>81</v>
      </c>
    </row>
    <row r="66" spans="2:2">
      <c r="B66" t="s">
        <v>79</v>
      </c>
    </row>
    <row r="67" spans="2:2">
      <c r="B67" t="s">
        <v>58</v>
      </c>
    </row>
    <row r="68" spans="2:2">
      <c r="B68" t="s">
        <v>79</v>
      </c>
    </row>
    <row r="69" spans="2:2">
      <c r="B69" t="s">
        <v>81</v>
      </c>
    </row>
    <row r="70" spans="2:2">
      <c r="B70" t="s">
        <v>9</v>
      </c>
    </row>
    <row r="71" spans="2:2">
      <c r="B71" t="s">
        <v>9</v>
      </c>
    </row>
    <row r="72" spans="2:2">
      <c r="B72" t="s">
        <v>9</v>
      </c>
    </row>
    <row r="73" spans="2:2">
      <c r="B73" t="s">
        <v>81</v>
      </c>
    </row>
    <row r="74" spans="2:2">
      <c r="B74" t="s">
        <v>9</v>
      </c>
    </row>
    <row r="75" spans="2:2">
      <c r="B75" t="s">
        <v>72</v>
      </c>
    </row>
    <row r="76" spans="2:2">
      <c r="B76" t="s">
        <v>58</v>
      </c>
    </row>
    <row r="77" spans="2:2">
      <c r="B77" t="s">
        <v>79</v>
      </c>
    </row>
    <row r="78" spans="2:2">
      <c r="B78" t="s">
        <v>79</v>
      </c>
    </row>
    <row r="79" spans="2:2">
      <c r="B79" t="s">
        <v>81</v>
      </c>
    </row>
    <row r="80" spans="2:2">
      <c r="B80" t="s">
        <v>9</v>
      </c>
    </row>
    <row r="81" spans="2:2">
      <c r="B81" t="s">
        <v>9</v>
      </c>
    </row>
    <row r="82" spans="2:2">
      <c r="B82" t="s">
        <v>212</v>
      </c>
    </row>
    <row r="83" spans="2:2">
      <c r="B83" t="s">
        <v>58</v>
      </c>
    </row>
    <row r="84" spans="2:2">
      <c r="B84" t="s">
        <v>72</v>
      </c>
    </row>
    <row r="85" spans="2:2">
      <c r="B85" t="s">
        <v>79</v>
      </c>
    </row>
    <row r="86" spans="2:2">
      <c r="B86" t="s">
        <v>212</v>
      </c>
    </row>
    <row r="87" spans="2:2">
      <c r="B87" t="s">
        <v>212</v>
      </c>
    </row>
    <row r="88" spans="2:2">
      <c r="B88" t="s">
        <v>81</v>
      </c>
    </row>
    <row r="89" spans="2:2">
      <c r="B89" t="s">
        <v>79</v>
      </c>
    </row>
    <row r="90" spans="2:2">
      <c r="B90" t="s">
        <v>81</v>
      </c>
    </row>
    <row r="91" spans="2:2">
      <c r="B91" t="s">
        <v>72</v>
      </c>
    </row>
    <row r="92" spans="2:2">
      <c r="B92" t="s">
        <v>212</v>
      </c>
    </row>
    <row r="93" spans="2:2">
      <c r="B93" t="s">
        <v>212</v>
      </c>
    </row>
    <row r="94" spans="2:2">
      <c r="B94" t="s">
        <v>58</v>
      </c>
    </row>
    <row r="95" spans="2:2">
      <c r="B95" t="s">
        <v>72</v>
      </c>
    </row>
    <row r="96" spans="2:2">
      <c r="B96" t="s">
        <v>212</v>
      </c>
    </row>
    <row r="97" spans="2:2">
      <c r="B97" t="s">
        <v>72</v>
      </c>
    </row>
    <row r="98" spans="2:2">
      <c r="B98" t="s">
        <v>79</v>
      </c>
    </row>
    <row r="99" spans="2:2">
      <c r="B99" t="s">
        <v>9</v>
      </c>
    </row>
    <row r="100" spans="2:2">
      <c r="B100" t="s">
        <v>212</v>
      </c>
    </row>
    <row r="101" spans="2:2">
      <c r="B101" t="s">
        <v>58</v>
      </c>
    </row>
    <row r="102" spans="2:2">
      <c r="B102" t="s">
        <v>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workbookViewId="0">
      <selection activeCell="D3" sqref="D3"/>
    </sheetView>
  </sheetViews>
  <sheetFormatPr defaultColWidth="14.42578125" defaultRowHeight="15" customHeight="1"/>
  <cols>
    <col min="1" max="1" width="10.42578125" customWidth="1"/>
    <col min="2" max="2" width="9.7109375" customWidth="1"/>
    <col min="3" max="3" width="8.7109375" customWidth="1"/>
    <col min="4" max="4" width="10.140625" bestFit="1" customWidth="1"/>
    <col min="5" max="10" width="8.7109375" customWidth="1"/>
    <col min="11" max="11" width="10.42578125" bestFit="1" customWidth="1"/>
    <col min="12" max="12" width="8.7109375" customWidth="1"/>
    <col min="13" max="13" width="10.140625" customWidth="1"/>
    <col min="14" max="25" width="8.7109375" customWidth="1"/>
  </cols>
  <sheetData>
    <row r="1" spans="1:18" ht="14.25" customHeight="1">
      <c r="A1" s="9" t="s">
        <v>213</v>
      </c>
      <c r="B1" s="10" t="s">
        <v>214</v>
      </c>
      <c r="C1" s="11" t="s">
        <v>215</v>
      </c>
      <c r="D1" s="10" t="s">
        <v>216</v>
      </c>
      <c r="E1" s="10" t="s">
        <v>217</v>
      </c>
      <c r="K1" t="s">
        <v>213</v>
      </c>
      <c r="L1" t="s">
        <v>218</v>
      </c>
      <c r="M1" t="s">
        <v>219</v>
      </c>
    </row>
    <row r="2" spans="1:18" ht="14.25" customHeight="1">
      <c r="A2" s="4" t="s">
        <v>220</v>
      </c>
      <c r="B2" s="2" t="s">
        <v>221</v>
      </c>
      <c r="C2" s="51">
        <v>15.6</v>
      </c>
      <c r="D2" s="2" t="str">
        <f>IF(Table6[[#This Row],[Marks]]&gt;70,"Distinction",IF(Table6[[#This Row],[Marks]]&gt;60,"First",IF(Table6[[#This Row],[Marks]]&gt;35,"Pass","Fail")))</f>
        <v>Fail</v>
      </c>
      <c r="E2" s="54" t="str">
        <f>IF(Table6[[#This Row],[Marks]]&gt;=35,"Pass","Fail")</f>
        <v>Fail</v>
      </c>
      <c r="K2" t="s">
        <v>222</v>
      </c>
      <c r="L2">
        <f>SUMIF(Table6[Name],K2,Table6[Marks])</f>
        <v>181.1</v>
      </c>
      <c r="M2" s="53">
        <f>AVERAGEIF(Table6[Name],K2,Table6[Marks])</f>
        <v>60.366666666666667</v>
      </c>
    </row>
    <row r="3" spans="1:18" ht="14.25" customHeight="1">
      <c r="A3" s="4" t="s">
        <v>223</v>
      </c>
      <c r="B3" s="2" t="s">
        <v>224</v>
      </c>
      <c r="C3" s="51">
        <v>27</v>
      </c>
      <c r="D3" s="2" t="str">
        <f>IF(Table6[[#This Row],[Marks]]&gt;70,"Distinction",IF(Table6[[#This Row],[Marks]]&gt;60,"First",IF(Table6[[#This Row],[Marks]]&gt;35,"Pass","Fail")))</f>
        <v>Fail</v>
      </c>
      <c r="E3" s="2" t="str">
        <f>IF(Table6[[#This Row],[Marks]]&gt;=35,"Pass","Fail")</f>
        <v>Fail</v>
      </c>
      <c r="K3" t="s">
        <v>220</v>
      </c>
      <c r="L3">
        <f>SUMIF(Table6[Name],K3,Table6[Marks])</f>
        <v>15.6</v>
      </c>
      <c r="M3" s="53">
        <f>AVERAGEIF(Table6[Name],K3,Table6[Marks])</f>
        <v>15.6</v>
      </c>
      <c r="R3" t="s">
        <v>225</v>
      </c>
    </row>
    <row r="4" spans="1:18" ht="14.25" customHeight="1">
      <c r="A4" s="4" t="s">
        <v>223</v>
      </c>
      <c r="B4" s="2" t="s">
        <v>226</v>
      </c>
      <c r="C4" s="51">
        <v>91.4</v>
      </c>
      <c r="D4" s="2" t="str">
        <f>IF(Table6[[#This Row],[Marks]]&gt;70,"Distinction",IF(Table6[[#This Row],[Marks]]&gt;60,"First",IF(Table6[[#This Row],[Marks]]&gt;35,"Pass","Fail")))</f>
        <v>Distinction</v>
      </c>
      <c r="E4" s="2" t="str">
        <f>IF(Table6[[#This Row],[Marks]]&gt;=35,"Pass","Fail")</f>
        <v>Pass</v>
      </c>
      <c r="K4" t="s">
        <v>223</v>
      </c>
      <c r="L4">
        <f>SUMIF(Table6[Name],K4,Table6[Marks])</f>
        <v>178.7</v>
      </c>
      <c r="M4" s="53">
        <f>AVERAGEIF(Table6[Name],K4,Table6[Marks])</f>
        <v>59.566666666666663</v>
      </c>
      <c r="Q4" t="s">
        <v>227</v>
      </c>
      <c r="R4" s="22">
        <f>MIN(Table6[Marks])</f>
        <v>1.1000000000000001</v>
      </c>
    </row>
    <row r="5" spans="1:18" ht="14.25" customHeight="1">
      <c r="A5" s="4" t="s">
        <v>223</v>
      </c>
      <c r="B5" s="2" t="s">
        <v>221</v>
      </c>
      <c r="C5" s="51">
        <v>60.3</v>
      </c>
      <c r="D5" s="2" t="str">
        <f>IF(Table6[[#This Row],[Marks]]&gt;70,"Distinction",IF(Table6[[#This Row],[Marks]]&gt;60,"First",IF(Table6[[#This Row],[Marks]]&gt;35,"Pass","Fail")))</f>
        <v>First</v>
      </c>
      <c r="E5" s="2" t="str">
        <f>IF(Table6[[#This Row],[Marks]]&gt;=35,"Pass","Fail")</f>
        <v>Pass</v>
      </c>
      <c r="K5" t="s">
        <v>228</v>
      </c>
      <c r="L5">
        <f>SUMIF(Table6[Name],K5,Table6[Marks])</f>
        <v>31.400000000000002</v>
      </c>
      <c r="M5" s="53">
        <f>AVERAGEIF(Table6[Name],K5,Table6[Marks])</f>
        <v>15.700000000000001</v>
      </c>
      <c r="Q5" t="s">
        <v>229</v>
      </c>
      <c r="R5">
        <f>MAX(Table6[Marks])</f>
        <v>98.4</v>
      </c>
    </row>
    <row r="6" spans="1:18" ht="14.25" customHeight="1">
      <c r="A6" s="4" t="s">
        <v>228</v>
      </c>
      <c r="B6" s="2" t="s">
        <v>221</v>
      </c>
      <c r="C6" s="51">
        <v>23.1</v>
      </c>
      <c r="D6" s="2" t="str">
        <f>IF(Table6[[#This Row],[Marks]]&gt;70,"Distinction",IF(Table6[[#This Row],[Marks]]&gt;60,"First",IF(Table6[[#This Row],[Marks]]&gt;35,"Pass","Fail")))</f>
        <v>Fail</v>
      </c>
      <c r="E6" s="2" t="str">
        <f>IF(Table6[[#This Row],[Marks]]&gt;=35,"Pass","Fail")</f>
        <v>Fail</v>
      </c>
      <c r="K6" t="s">
        <v>230</v>
      </c>
      <c r="L6">
        <f>SUMIF(Table6[Name],K6,Table6[Marks])</f>
        <v>93.800000000000011</v>
      </c>
      <c r="M6" s="53">
        <f>AVERAGEIF(Table6[Name],K6,Table6[Marks])</f>
        <v>46.900000000000006</v>
      </c>
      <c r="Q6" t="s">
        <v>231</v>
      </c>
      <c r="R6">
        <f>COUNTIF(Table6[Marks],"&gt;70")</f>
        <v>23</v>
      </c>
    </row>
    <row r="7" spans="1:18" ht="14.25" customHeight="1">
      <c r="A7" s="4" t="s">
        <v>228</v>
      </c>
      <c r="B7" s="2" t="s">
        <v>224</v>
      </c>
      <c r="C7" s="51">
        <v>8.3000000000000007</v>
      </c>
      <c r="D7" s="2" t="str">
        <f>IF(Table6[[#This Row],[Marks]]&gt;70,"Distinction",IF(Table6[[#This Row],[Marks]]&gt;60,"First",IF(Table6[[#This Row],[Marks]]&gt;35,"Pass","Fail")))</f>
        <v>Fail</v>
      </c>
      <c r="E7" s="2" t="str">
        <f>IF(Table6[[#This Row],[Marks]]&gt;=35,"Pass","Fail")</f>
        <v>Fail</v>
      </c>
      <c r="K7" t="s">
        <v>232</v>
      </c>
      <c r="L7">
        <f>SUMIF(Table6[Name],K7,Table6[Marks])</f>
        <v>93.9</v>
      </c>
      <c r="M7" s="53">
        <f>AVERAGEIF(Table6[Name],K7,Table6[Marks])</f>
        <v>23.475000000000001</v>
      </c>
    </row>
    <row r="8" spans="1:18" ht="14.25" customHeight="1">
      <c r="A8" s="4" t="s">
        <v>222</v>
      </c>
      <c r="B8" s="2" t="s">
        <v>224</v>
      </c>
      <c r="C8" s="51">
        <v>64.400000000000006</v>
      </c>
      <c r="D8" s="2" t="str">
        <f>IF(Table6[[#This Row],[Marks]]&gt;70,"Distinction",IF(Table6[[#This Row],[Marks]]&gt;60,"First",IF(Table6[[#This Row],[Marks]]&gt;35,"Pass","Fail")))</f>
        <v>First</v>
      </c>
      <c r="E8" s="2" t="str">
        <f>IF(Table6[[#This Row],[Marks]]&gt;=35,"Pass","Fail")</f>
        <v>Pass</v>
      </c>
      <c r="K8" t="s">
        <v>233</v>
      </c>
      <c r="L8">
        <f>SUMIF(Table6[Name],K8,Table6[Marks])</f>
        <v>76.7</v>
      </c>
      <c r="M8" s="53">
        <f>AVERAGEIF(Table6[Name],K8,Table6[Marks])</f>
        <v>25.566666666666666</v>
      </c>
    </row>
    <row r="9" spans="1:18" ht="14.25" customHeight="1">
      <c r="A9" s="4" t="s">
        <v>222</v>
      </c>
      <c r="B9" s="2" t="s">
        <v>234</v>
      </c>
      <c r="C9" s="51">
        <v>60.1</v>
      </c>
      <c r="D9" s="2" t="str">
        <f>IF(Table6[[#This Row],[Marks]]&gt;70,"Distinction",IF(Table6[[#This Row],[Marks]]&gt;60,"First",IF(Table6[[#This Row],[Marks]]&gt;35,"Pass","Fail")))</f>
        <v>First</v>
      </c>
      <c r="E9" s="2" t="str">
        <f>IF(Table6[[#This Row],[Marks]]&gt;=35,"Pass","Fail")</f>
        <v>Pass</v>
      </c>
      <c r="K9" t="s">
        <v>235</v>
      </c>
      <c r="L9">
        <f>SUMIF(Table6[Name],K9,Table6[Marks])</f>
        <v>34.200000000000003</v>
      </c>
      <c r="M9" s="53">
        <f>AVERAGEIF(Table6[Name],K9,Table6[Marks])</f>
        <v>34.200000000000003</v>
      </c>
    </row>
    <row r="10" spans="1:18" ht="14.25" customHeight="1">
      <c r="A10" s="4" t="s">
        <v>222</v>
      </c>
      <c r="B10" s="2" t="s">
        <v>234</v>
      </c>
      <c r="C10" s="51">
        <v>56.6</v>
      </c>
      <c r="D10" s="2" t="str">
        <f>IF(Table6[[#This Row],[Marks]]&gt;70,"Distinction",IF(Table6[[#This Row],[Marks]]&gt;60,"First",IF(Table6[[#This Row],[Marks]]&gt;35,"Pass","Fail")))</f>
        <v>Pass</v>
      </c>
      <c r="E10" s="2" t="str">
        <f>IF(Table6[[#This Row],[Marks]]&gt;=35,"Pass","Fail")</f>
        <v>Pass</v>
      </c>
      <c r="K10" t="s">
        <v>236</v>
      </c>
      <c r="L10">
        <f>SUMIF(Table6[Name],K10,Table6[Marks])</f>
        <v>66.8</v>
      </c>
      <c r="M10" s="53">
        <f>AVERAGEIF(Table6[Name],K10,Table6[Marks])</f>
        <v>66.8</v>
      </c>
    </row>
    <row r="11" spans="1:18" ht="14.25" customHeight="1">
      <c r="A11" s="4" t="s">
        <v>230</v>
      </c>
      <c r="B11" s="2" t="s">
        <v>226</v>
      </c>
      <c r="C11" s="51">
        <v>27.4</v>
      </c>
      <c r="D11" s="2" t="str">
        <f>IF(Table6[[#This Row],[Marks]]&gt;70,"Distinction",IF(Table6[[#This Row],[Marks]]&gt;60,"First",IF(Table6[[#This Row],[Marks]]&gt;35,"Pass","Fail")))</f>
        <v>Fail</v>
      </c>
      <c r="E11" s="2" t="str">
        <f>IF(Table6[[#This Row],[Marks]]&gt;=35,"Pass","Fail")</f>
        <v>Fail</v>
      </c>
      <c r="K11" t="s">
        <v>237</v>
      </c>
      <c r="L11">
        <f>SUMIF(Table6[Name],K11,Table6[Marks])</f>
        <v>9.9</v>
      </c>
      <c r="M11" s="53">
        <f>AVERAGEIF(Table6[Name],K11,Table6[Marks])</f>
        <v>9.9</v>
      </c>
    </row>
    <row r="12" spans="1:18" ht="14.25" customHeight="1">
      <c r="A12" s="4" t="s">
        <v>230</v>
      </c>
      <c r="B12" s="2" t="s">
        <v>224</v>
      </c>
      <c r="C12" s="51">
        <v>66.400000000000006</v>
      </c>
      <c r="D12" s="2" t="str">
        <f>IF(Table6[[#This Row],[Marks]]&gt;70,"Distinction",IF(Table6[[#This Row],[Marks]]&gt;60,"First",IF(Table6[[#This Row],[Marks]]&gt;35,"Pass","Fail")))</f>
        <v>First</v>
      </c>
      <c r="E12" s="2" t="str">
        <f>IF(Table6[[#This Row],[Marks]]&gt;=35,"Pass","Fail")</f>
        <v>Pass</v>
      </c>
      <c r="K12" t="s">
        <v>238</v>
      </c>
      <c r="L12">
        <f>SUMIF(Table6[Name],K12,Table6[Marks])</f>
        <v>121.7</v>
      </c>
      <c r="M12" s="53">
        <f>AVERAGEIF(Table6[Name],K12,Table6[Marks])</f>
        <v>40.56666666666667</v>
      </c>
    </row>
    <row r="13" spans="1:18" ht="14.25" customHeight="1">
      <c r="A13" s="4" t="s">
        <v>232</v>
      </c>
      <c r="B13" s="2" t="s">
        <v>239</v>
      </c>
      <c r="C13" s="51">
        <v>2</v>
      </c>
      <c r="D13" s="2" t="str">
        <f>IF(Table6[[#This Row],[Marks]]&gt;70,"Distinction",IF(Table6[[#This Row],[Marks]]&gt;60,"First",IF(Table6[[#This Row],[Marks]]&gt;35,"Pass","Fail")))</f>
        <v>Fail</v>
      </c>
      <c r="E13" s="2" t="str">
        <f>IF(Table6[[#This Row],[Marks]]&gt;=35,"Pass","Fail")</f>
        <v>Fail</v>
      </c>
      <c r="K13" t="s">
        <v>240</v>
      </c>
      <c r="L13">
        <f>SUMIF(Table6[Name],K13,Table6[Marks])</f>
        <v>73.8</v>
      </c>
      <c r="M13" s="53">
        <f>AVERAGEIF(Table6[Name],K13,Table6[Marks])</f>
        <v>73.8</v>
      </c>
    </row>
    <row r="14" spans="1:18" ht="14.25" customHeight="1">
      <c r="A14" s="4" t="s">
        <v>232</v>
      </c>
      <c r="B14" s="2" t="s">
        <v>239</v>
      </c>
      <c r="C14" s="51">
        <v>24.3</v>
      </c>
      <c r="D14" s="2" t="str">
        <f>IF(Table6[[#This Row],[Marks]]&gt;70,"Distinction",IF(Table6[[#This Row],[Marks]]&gt;60,"First",IF(Table6[[#This Row],[Marks]]&gt;35,"Pass","Fail")))</f>
        <v>Fail</v>
      </c>
      <c r="E14" s="2" t="str">
        <f>IF(Table6[[#This Row],[Marks]]&gt;=35,"Pass","Fail")</f>
        <v>Fail</v>
      </c>
      <c r="K14" t="s">
        <v>241</v>
      </c>
      <c r="L14">
        <f>SUMIF(Table6[Name],K14,Table6[Marks])</f>
        <v>17.899999999999999</v>
      </c>
      <c r="M14" s="53">
        <f>AVERAGEIF(Table6[Name],K14,Table6[Marks])</f>
        <v>17.899999999999999</v>
      </c>
    </row>
    <row r="15" spans="1:18" ht="14.25" customHeight="1">
      <c r="A15" s="4" t="s">
        <v>232</v>
      </c>
      <c r="B15" s="2" t="s">
        <v>234</v>
      </c>
      <c r="C15" s="51">
        <v>8.6</v>
      </c>
      <c r="D15" s="2" t="str">
        <f>IF(Table6[[#This Row],[Marks]]&gt;70,"Distinction",IF(Table6[[#This Row],[Marks]]&gt;60,"First",IF(Table6[[#This Row],[Marks]]&gt;35,"Pass","Fail")))</f>
        <v>Fail</v>
      </c>
      <c r="E15" s="2" t="str">
        <f>IF(Table6[[#This Row],[Marks]]&gt;=35,"Pass","Fail")</f>
        <v>Fail</v>
      </c>
      <c r="K15" t="s">
        <v>242</v>
      </c>
      <c r="L15">
        <f>SUMIF(Table6[Name],K15,Table6[Marks])</f>
        <v>118.5</v>
      </c>
      <c r="M15" s="53">
        <f>AVERAGEIF(Table6[Name],K15,Table6[Marks])</f>
        <v>59.25</v>
      </c>
    </row>
    <row r="16" spans="1:18" ht="14.25" customHeight="1">
      <c r="A16" s="4" t="s">
        <v>232</v>
      </c>
      <c r="B16" s="2" t="s">
        <v>234</v>
      </c>
      <c r="C16" s="51">
        <v>59</v>
      </c>
      <c r="D16" s="2" t="str">
        <f>IF(Table6[[#This Row],[Marks]]&gt;70,"Distinction",IF(Table6[[#This Row],[Marks]]&gt;60,"First",IF(Table6[[#This Row],[Marks]]&gt;35,"Pass","Fail")))</f>
        <v>Pass</v>
      </c>
      <c r="E16" s="2" t="str">
        <f>IF(Table6[[#This Row],[Marks]]&gt;=35,"Pass","Fail")</f>
        <v>Pass</v>
      </c>
      <c r="K16" t="s">
        <v>243</v>
      </c>
      <c r="L16">
        <f>SUMIF(Table6[Name],K16,Table6[Marks])</f>
        <v>130.19999999999999</v>
      </c>
      <c r="M16" s="53">
        <f>AVERAGEIF(Table6[Name],K16,Table6[Marks])</f>
        <v>65.099999999999994</v>
      </c>
    </row>
    <row r="17" spans="1:13" ht="14.25" customHeight="1">
      <c r="A17" s="4" t="s">
        <v>233</v>
      </c>
      <c r="B17" s="2" t="s">
        <v>224</v>
      </c>
      <c r="C17" s="51">
        <v>42.1</v>
      </c>
      <c r="D17" s="2" t="str">
        <f>IF(Table6[[#This Row],[Marks]]&gt;70,"Distinction",IF(Table6[[#This Row],[Marks]]&gt;60,"First",IF(Table6[[#This Row],[Marks]]&gt;35,"Pass","Fail")))</f>
        <v>Pass</v>
      </c>
      <c r="E17" s="2" t="str">
        <f>IF(Table6[[#This Row],[Marks]]&gt;=35,"Pass","Fail")</f>
        <v>Pass</v>
      </c>
      <c r="K17" t="s">
        <v>244</v>
      </c>
      <c r="L17">
        <f>SUMIF(Table6[Name],K17,Table6[Marks])</f>
        <v>83</v>
      </c>
      <c r="M17" s="53">
        <f>AVERAGEIF(Table6[Name],K17,Table6[Marks])</f>
        <v>83</v>
      </c>
    </row>
    <row r="18" spans="1:13" ht="14.25" customHeight="1">
      <c r="A18" s="4" t="s">
        <v>233</v>
      </c>
      <c r="B18" s="2" t="s">
        <v>234</v>
      </c>
      <c r="C18" s="51">
        <v>14</v>
      </c>
      <c r="D18" s="2" t="str">
        <f>IF(Table6[[#This Row],[Marks]]&gt;70,"Distinction",IF(Table6[[#This Row],[Marks]]&gt;60,"First",IF(Table6[[#This Row],[Marks]]&gt;35,"Pass","Fail")))</f>
        <v>Fail</v>
      </c>
      <c r="E18" s="2" t="str">
        <f>IF(Table6[[#This Row],[Marks]]&gt;=35,"Pass","Fail")</f>
        <v>Fail</v>
      </c>
      <c r="K18" t="s">
        <v>245</v>
      </c>
      <c r="L18">
        <f>SUMIF(Table6[Name],K18,Table6[Marks])</f>
        <v>204.4</v>
      </c>
      <c r="M18" s="53">
        <f>AVERAGEIF(Table6[Name],K18,Table6[Marks])</f>
        <v>68.13333333333334</v>
      </c>
    </row>
    <row r="19" spans="1:13" ht="14.25" customHeight="1">
      <c r="A19" s="4" t="s">
        <v>233</v>
      </c>
      <c r="B19" s="2" t="s">
        <v>239</v>
      </c>
      <c r="C19" s="51">
        <v>20.6</v>
      </c>
      <c r="D19" s="2" t="str">
        <f>IF(Table6[[#This Row],[Marks]]&gt;70,"Distinction",IF(Table6[[#This Row],[Marks]]&gt;60,"First",IF(Table6[[#This Row],[Marks]]&gt;35,"Pass","Fail")))</f>
        <v>Fail</v>
      </c>
      <c r="E19" s="2" t="str">
        <f>IF(Table6[[#This Row],[Marks]]&gt;=35,"Pass","Fail")</f>
        <v>Fail</v>
      </c>
      <c r="K19" t="s">
        <v>246</v>
      </c>
      <c r="L19">
        <f>SUMIF(Table6[Name],K19,Table6[Marks])</f>
        <v>201.39999999999998</v>
      </c>
      <c r="M19" s="53">
        <f>AVERAGEIF(Table6[Name],K19,Table6[Marks])</f>
        <v>50.349999999999994</v>
      </c>
    </row>
    <row r="20" spans="1:13" ht="14.25" customHeight="1">
      <c r="A20" s="4" t="s">
        <v>235</v>
      </c>
      <c r="B20" s="2" t="s">
        <v>239</v>
      </c>
      <c r="C20" s="51">
        <v>34.200000000000003</v>
      </c>
      <c r="D20" s="2" t="str">
        <f>IF(Table6[[#This Row],[Marks]]&gt;70,"Distinction",IF(Table6[[#This Row],[Marks]]&gt;60,"First",IF(Table6[[#This Row],[Marks]]&gt;35,"Pass","Fail")))</f>
        <v>Fail</v>
      </c>
      <c r="E20" s="2" t="str">
        <f>IF(Table6[[#This Row],[Marks]]&gt;=35,"Pass","Fail")</f>
        <v>Fail</v>
      </c>
      <c r="K20" t="s">
        <v>247</v>
      </c>
      <c r="L20">
        <f>SUMIF(Table6[Name],K20,Table6[Marks])</f>
        <v>78.600000000000009</v>
      </c>
      <c r="M20" s="53">
        <f>AVERAGEIF(Table6[Name],K20,Table6[Marks])</f>
        <v>19.650000000000002</v>
      </c>
    </row>
    <row r="21" spans="1:13" ht="14.25" customHeight="1">
      <c r="A21" s="4" t="s">
        <v>236</v>
      </c>
      <c r="B21" s="2" t="s">
        <v>239</v>
      </c>
      <c r="C21" s="51">
        <v>66.8</v>
      </c>
      <c r="D21" s="2" t="str">
        <f>IF(Table6[[#This Row],[Marks]]&gt;70,"Distinction",IF(Table6[[#This Row],[Marks]]&gt;60,"First",IF(Table6[[#This Row],[Marks]]&gt;35,"Pass","Fail")))</f>
        <v>First</v>
      </c>
      <c r="E21" s="2" t="str">
        <f>IF(Table6[[#This Row],[Marks]]&gt;=35,"Pass","Fail")</f>
        <v>Pass</v>
      </c>
      <c r="K21" t="s">
        <v>248</v>
      </c>
      <c r="L21">
        <f>SUMIF(Table6[Name],K21,Table6[Marks])</f>
        <v>204.9</v>
      </c>
      <c r="M21" s="53">
        <f>AVERAGEIF(Table6[Name],K21,Table6[Marks])</f>
        <v>40.980000000000004</v>
      </c>
    </row>
    <row r="22" spans="1:13" ht="14.25" customHeight="1">
      <c r="A22" s="4" t="s">
        <v>237</v>
      </c>
      <c r="B22" s="2" t="s">
        <v>234</v>
      </c>
      <c r="C22" s="51">
        <v>9.9</v>
      </c>
      <c r="D22" s="2" t="str">
        <f>IF(Table6[[#This Row],[Marks]]&gt;70,"Distinction",IF(Table6[[#This Row],[Marks]]&gt;60,"First",IF(Table6[[#This Row],[Marks]]&gt;35,"Pass","Fail")))</f>
        <v>Fail</v>
      </c>
      <c r="E22" s="2" t="str">
        <f>IF(Table6[[#This Row],[Marks]]&gt;=35,"Pass","Fail")</f>
        <v>Fail</v>
      </c>
      <c r="K22" t="s">
        <v>249</v>
      </c>
      <c r="L22">
        <f>SUMIF(Table6[Name],K22,Table6[Marks])</f>
        <v>29.4</v>
      </c>
      <c r="M22" s="53">
        <f>AVERAGEIF(Table6[Name],K22,Table6[Marks])</f>
        <v>29.4</v>
      </c>
    </row>
    <row r="23" spans="1:13" ht="14.25" customHeight="1">
      <c r="A23" s="4" t="s">
        <v>238</v>
      </c>
      <c r="B23" s="2" t="s">
        <v>226</v>
      </c>
      <c r="C23" s="51">
        <v>38</v>
      </c>
      <c r="D23" s="2" t="str">
        <f>IF(Table6[[#This Row],[Marks]]&gt;70,"Distinction",IF(Table6[[#This Row],[Marks]]&gt;60,"First",IF(Table6[[#This Row],[Marks]]&gt;35,"Pass","Fail")))</f>
        <v>Pass</v>
      </c>
      <c r="E23" s="2" t="str">
        <f>IF(Table6[[#This Row],[Marks]]&gt;=35,"Pass","Fail")</f>
        <v>Pass</v>
      </c>
      <c r="K23" t="s">
        <v>250</v>
      </c>
      <c r="L23">
        <f>SUMIF(Table6[Name],K23,Table6[Marks])</f>
        <v>99.9</v>
      </c>
      <c r="M23" s="53">
        <f>AVERAGEIF(Table6[Name],K23,Table6[Marks])</f>
        <v>49.95</v>
      </c>
    </row>
    <row r="24" spans="1:13" ht="14.25" customHeight="1">
      <c r="A24" s="4" t="s">
        <v>238</v>
      </c>
      <c r="B24" s="2" t="s">
        <v>221</v>
      </c>
      <c r="C24" s="51">
        <v>17.2</v>
      </c>
      <c r="D24" s="2" t="str">
        <f>IF(Table6[[#This Row],[Marks]]&gt;70,"Distinction",IF(Table6[[#This Row],[Marks]]&gt;60,"First",IF(Table6[[#This Row],[Marks]]&gt;35,"Pass","Fail")))</f>
        <v>Fail</v>
      </c>
      <c r="E24" s="2" t="str">
        <f>IF(Table6[[#This Row],[Marks]]&gt;=35,"Pass","Fail")</f>
        <v>Fail</v>
      </c>
      <c r="K24" t="s">
        <v>251</v>
      </c>
      <c r="L24">
        <f>SUMIF(Table6[Name],K24,Table6[Marks])</f>
        <v>146.80000000000001</v>
      </c>
      <c r="M24" s="53">
        <f>AVERAGEIF(Table6[Name],K24,Table6[Marks])</f>
        <v>73.400000000000006</v>
      </c>
    </row>
    <row r="25" spans="1:13" ht="14.25" customHeight="1">
      <c r="A25" s="4" t="s">
        <v>238</v>
      </c>
      <c r="B25" s="2" t="s">
        <v>239</v>
      </c>
      <c r="C25" s="51">
        <v>66.5</v>
      </c>
      <c r="D25" s="2" t="str">
        <f>IF(Table6[[#This Row],[Marks]]&gt;70,"Distinction",IF(Table6[[#This Row],[Marks]]&gt;60,"First",IF(Table6[[#This Row],[Marks]]&gt;35,"Pass","Fail")))</f>
        <v>First</v>
      </c>
      <c r="E25" s="2" t="str">
        <f>IF(Table6[[#This Row],[Marks]]&gt;=35,"Pass","Fail")</f>
        <v>Pass</v>
      </c>
      <c r="K25" t="s">
        <v>252</v>
      </c>
      <c r="L25">
        <f>SUMIF(Table6[Name],K25,Table6[Marks])</f>
        <v>20.8</v>
      </c>
      <c r="M25" s="53">
        <f>AVERAGEIF(Table6[Name],K25,Table6[Marks])</f>
        <v>20.8</v>
      </c>
    </row>
    <row r="26" spans="1:13" ht="14.25" customHeight="1">
      <c r="A26" s="4" t="s">
        <v>240</v>
      </c>
      <c r="B26" s="2" t="s">
        <v>224</v>
      </c>
      <c r="C26" s="51">
        <v>73.8</v>
      </c>
      <c r="D26" s="2" t="str">
        <f>IF(Table6[[#This Row],[Marks]]&gt;70,"Distinction",IF(Table6[[#This Row],[Marks]]&gt;60,"First",IF(Table6[[#This Row],[Marks]]&gt;35,"Pass","Fail")))</f>
        <v>Distinction</v>
      </c>
      <c r="E26" s="2" t="str">
        <f>IF(Table6[[#This Row],[Marks]]&gt;=35,"Pass","Fail")</f>
        <v>Pass</v>
      </c>
      <c r="K26" t="s">
        <v>253</v>
      </c>
      <c r="L26">
        <f>SUMIF(Table6[Name],K26,Table6[Marks])</f>
        <v>340.6</v>
      </c>
      <c r="M26" s="53">
        <f>AVERAGEIF(Table6[Name],K26,Table6[Marks])</f>
        <v>48.657142857142858</v>
      </c>
    </row>
    <row r="27" spans="1:13" ht="14.25" customHeight="1">
      <c r="A27" s="4" t="s">
        <v>241</v>
      </c>
      <c r="B27" s="2" t="s">
        <v>221</v>
      </c>
      <c r="C27" s="51">
        <v>17.899999999999999</v>
      </c>
      <c r="D27" s="2" t="str">
        <f>IF(Table6[[#This Row],[Marks]]&gt;70,"Distinction",IF(Table6[[#This Row],[Marks]]&gt;60,"First",IF(Table6[[#This Row],[Marks]]&gt;35,"Pass","Fail")))</f>
        <v>Fail</v>
      </c>
      <c r="E27" s="2" t="str">
        <f>IF(Table6[[#This Row],[Marks]]&gt;=35,"Pass","Fail")</f>
        <v>Fail</v>
      </c>
      <c r="K27" t="s">
        <v>254</v>
      </c>
      <c r="L27">
        <f>SUMIF(Table6[Name],K27,Table6[Marks])</f>
        <v>123.4</v>
      </c>
      <c r="M27" s="53">
        <f>AVERAGEIF(Table6[Name],K27,Table6[Marks])</f>
        <v>41.133333333333333</v>
      </c>
    </row>
    <row r="28" spans="1:13" ht="14.25" customHeight="1">
      <c r="A28" s="4" t="s">
        <v>242</v>
      </c>
      <c r="B28" s="2" t="s">
        <v>221</v>
      </c>
      <c r="C28" s="51">
        <v>65.900000000000006</v>
      </c>
      <c r="D28" s="2" t="str">
        <f>IF(Table6[[#This Row],[Marks]]&gt;70,"Distinction",IF(Table6[[#This Row],[Marks]]&gt;60,"First",IF(Table6[[#This Row],[Marks]]&gt;35,"Pass","Fail")))</f>
        <v>First</v>
      </c>
      <c r="E28" s="2" t="str">
        <f>IF(Table6[[#This Row],[Marks]]&gt;=35,"Pass","Fail")</f>
        <v>Pass</v>
      </c>
      <c r="K28" t="s">
        <v>255</v>
      </c>
      <c r="L28">
        <f>SUMIF(Table6[Name],K28,Table6[Marks])</f>
        <v>147.5</v>
      </c>
      <c r="M28" s="53">
        <f>AVERAGEIF(Table6[Name],K28,Table6[Marks])</f>
        <v>36.875</v>
      </c>
    </row>
    <row r="29" spans="1:13" ht="14.25" customHeight="1">
      <c r="A29" s="4" t="s">
        <v>242</v>
      </c>
      <c r="B29" s="2" t="s">
        <v>224</v>
      </c>
      <c r="C29" s="51">
        <v>52.6</v>
      </c>
      <c r="D29" s="2" t="str">
        <f>IF(Table6[[#This Row],[Marks]]&gt;70,"Distinction",IF(Table6[[#This Row],[Marks]]&gt;60,"First",IF(Table6[[#This Row],[Marks]]&gt;35,"Pass","Fail")))</f>
        <v>Pass</v>
      </c>
      <c r="E29" s="2" t="str">
        <f>IF(Table6[[#This Row],[Marks]]&gt;=35,"Pass","Fail")</f>
        <v>Pass</v>
      </c>
      <c r="K29" t="s">
        <v>256</v>
      </c>
      <c r="L29">
        <f>SUMIF(Table6[Name],K29,Table6[Marks])</f>
        <v>158.30000000000001</v>
      </c>
      <c r="M29" s="53">
        <f>AVERAGEIF(Table6[Name],K29,Table6[Marks])</f>
        <v>52.766666666666673</v>
      </c>
    </row>
    <row r="30" spans="1:13" ht="14.25" customHeight="1">
      <c r="A30" s="4" t="s">
        <v>243</v>
      </c>
      <c r="B30" s="2" t="s">
        <v>226</v>
      </c>
      <c r="C30" s="51">
        <v>58.3</v>
      </c>
      <c r="D30" s="2" t="str">
        <f>IF(Table6[[#This Row],[Marks]]&gt;70,"Distinction",IF(Table6[[#This Row],[Marks]]&gt;60,"First",IF(Table6[[#This Row],[Marks]]&gt;35,"Pass","Fail")))</f>
        <v>Pass</v>
      </c>
      <c r="E30" s="2" t="str">
        <f>IF(Table6[[#This Row],[Marks]]&gt;=35,"Pass","Fail")</f>
        <v>Pass</v>
      </c>
      <c r="K30" t="s">
        <v>257</v>
      </c>
      <c r="L30">
        <f>SUMIF(Table6[Name],K30,Table6[Marks])</f>
        <v>153.5</v>
      </c>
      <c r="M30" s="53">
        <f>AVERAGEIF(Table6[Name],K30,Table6[Marks])</f>
        <v>38.375</v>
      </c>
    </row>
    <row r="31" spans="1:13" ht="14.25" customHeight="1">
      <c r="A31" s="4" t="s">
        <v>243</v>
      </c>
      <c r="B31" s="2" t="s">
        <v>226</v>
      </c>
      <c r="C31" s="51">
        <v>71.900000000000006</v>
      </c>
      <c r="D31" s="2" t="str">
        <f>IF(Table6[[#This Row],[Marks]]&gt;70,"Distinction",IF(Table6[[#This Row],[Marks]]&gt;60,"First",IF(Table6[[#This Row],[Marks]]&gt;35,"Pass","Fail")))</f>
        <v>Distinction</v>
      </c>
      <c r="E31" s="2" t="str">
        <f>IF(Table6[[#This Row],[Marks]]&gt;=35,"Pass","Fail")</f>
        <v>Pass</v>
      </c>
      <c r="K31" t="s">
        <v>258</v>
      </c>
      <c r="L31">
        <f>SUMIF(Table6[Name],K31,Table6[Marks])</f>
        <v>210.5</v>
      </c>
      <c r="M31" s="53">
        <f>AVERAGEIF(Table6[Name],K31,Table6[Marks])</f>
        <v>70.166666666666671</v>
      </c>
    </row>
    <row r="32" spans="1:13" ht="14.25" customHeight="1">
      <c r="A32" s="4" t="s">
        <v>244</v>
      </c>
      <c r="B32" s="2" t="s">
        <v>221</v>
      </c>
      <c r="C32" s="51">
        <v>83</v>
      </c>
      <c r="D32" s="2" t="str">
        <f>IF(Table6[[#This Row],[Marks]]&gt;70,"Distinction",IF(Table6[[#This Row],[Marks]]&gt;60,"First",IF(Table6[[#This Row],[Marks]]&gt;35,"Pass","Fail")))</f>
        <v>Distinction</v>
      </c>
      <c r="E32" s="2" t="str">
        <f>IF(Table6[[#This Row],[Marks]]&gt;=35,"Pass","Fail")</f>
        <v>Pass</v>
      </c>
      <c r="K32" t="s">
        <v>259</v>
      </c>
      <c r="L32">
        <f>SUMIF(Table6[Name],K32,Table6[Marks])</f>
        <v>243.7</v>
      </c>
      <c r="M32" s="53">
        <f>AVERAGEIF(Table6[Name],K32,Table6[Marks])</f>
        <v>81.233333333333334</v>
      </c>
    </row>
    <row r="33" spans="1:13" ht="14.25" customHeight="1">
      <c r="A33" s="4" t="s">
        <v>245</v>
      </c>
      <c r="B33" s="2" t="s">
        <v>226</v>
      </c>
      <c r="C33" s="51">
        <v>83</v>
      </c>
      <c r="D33" s="2" t="str">
        <f>IF(Table6[[#This Row],[Marks]]&gt;70,"Distinction",IF(Table6[[#This Row],[Marks]]&gt;60,"First",IF(Table6[[#This Row],[Marks]]&gt;35,"Pass","Fail")))</f>
        <v>Distinction</v>
      </c>
      <c r="E33" s="2" t="str">
        <f>IF(Table6[[#This Row],[Marks]]&gt;=35,"Pass","Fail")</f>
        <v>Pass</v>
      </c>
      <c r="K33" t="s">
        <v>260</v>
      </c>
      <c r="L33">
        <f>SUMIF(Table6[Name],K33,Table6[Marks])</f>
        <v>300.8</v>
      </c>
      <c r="M33" s="53">
        <f>AVERAGEIF(Table6[Name],K33,Table6[Marks])</f>
        <v>42.971428571428575</v>
      </c>
    </row>
    <row r="34" spans="1:13" ht="14.25" customHeight="1">
      <c r="A34" s="4" t="s">
        <v>245</v>
      </c>
      <c r="B34" s="2" t="s">
        <v>239</v>
      </c>
      <c r="C34" s="51">
        <v>39.700000000000003</v>
      </c>
      <c r="D34" s="2" t="str">
        <f>IF(Table6[[#This Row],[Marks]]&gt;70,"Distinction",IF(Table6[[#This Row],[Marks]]&gt;60,"First",IF(Table6[[#This Row],[Marks]]&gt;35,"Pass","Fail")))</f>
        <v>Pass</v>
      </c>
      <c r="E34" s="2" t="str">
        <f>IF(Table6[[#This Row],[Marks]]&gt;=35,"Pass","Fail")</f>
        <v>Pass</v>
      </c>
      <c r="K34" t="s">
        <v>261</v>
      </c>
      <c r="L34">
        <f>SUMIF(Table6[Name],K34,Table6[Marks])</f>
        <v>132.19999999999999</v>
      </c>
      <c r="M34" s="53">
        <f>AVERAGEIF(Table6[Name],K34,Table6[Marks])</f>
        <v>33.049999999999997</v>
      </c>
    </row>
    <row r="35" spans="1:13" ht="14.25" customHeight="1">
      <c r="A35" s="4" t="s">
        <v>245</v>
      </c>
      <c r="B35" s="2" t="s">
        <v>226</v>
      </c>
      <c r="C35" s="51">
        <v>81.7</v>
      </c>
      <c r="D35" s="2" t="str">
        <f>IF(Table6[[#This Row],[Marks]]&gt;70,"Distinction",IF(Table6[[#This Row],[Marks]]&gt;60,"First",IF(Table6[[#This Row],[Marks]]&gt;35,"Pass","Fail")))</f>
        <v>Distinction</v>
      </c>
      <c r="E35" s="2" t="str">
        <f>IF(Table6[[#This Row],[Marks]]&gt;=35,"Pass","Fail")</f>
        <v>Pass</v>
      </c>
      <c r="K35" t="s">
        <v>262</v>
      </c>
      <c r="L35">
        <f>SUMIF(Table6[Name],K35,Table6[Marks])</f>
        <v>127.70000000000002</v>
      </c>
      <c r="M35" s="53">
        <f>AVERAGEIF(Table6[Name],K35,Table6[Marks])</f>
        <v>42.56666666666667</v>
      </c>
    </row>
    <row r="36" spans="1:13" ht="14.25" customHeight="1">
      <c r="A36" s="4" t="s">
        <v>246</v>
      </c>
      <c r="B36" s="2" t="s">
        <v>226</v>
      </c>
      <c r="C36" s="51">
        <v>72.2</v>
      </c>
      <c r="D36" s="2" t="str">
        <f>IF(Table6[[#This Row],[Marks]]&gt;70,"Distinction",IF(Table6[[#This Row],[Marks]]&gt;60,"First",IF(Table6[[#This Row],[Marks]]&gt;35,"Pass","Fail")))</f>
        <v>Distinction</v>
      </c>
      <c r="E36" s="2" t="str">
        <f>IF(Table6[[#This Row],[Marks]]&gt;=35,"Pass","Fail")</f>
        <v>Pass</v>
      </c>
      <c r="K36" t="s">
        <v>263</v>
      </c>
      <c r="L36">
        <f>SUMIF(Table6[Name],K36,Table6[Marks])</f>
        <v>94.8</v>
      </c>
      <c r="M36" s="53">
        <f>AVERAGEIF(Table6[Name],K36,Table6[Marks])</f>
        <v>94.8</v>
      </c>
    </row>
    <row r="37" spans="1:13" ht="14.25" customHeight="1">
      <c r="A37" s="4" t="s">
        <v>246</v>
      </c>
      <c r="B37" s="2" t="s">
        <v>224</v>
      </c>
      <c r="C37" s="51">
        <v>51.9</v>
      </c>
      <c r="D37" s="2" t="str">
        <f>IF(Table6[[#This Row],[Marks]]&gt;70,"Distinction",IF(Table6[[#This Row],[Marks]]&gt;60,"First",IF(Table6[[#This Row],[Marks]]&gt;35,"Pass","Fail")))</f>
        <v>Pass</v>
      </c>
      <c r="E37" s="2" t="str">
        <f>IF(Table6[[#This Row],[Marks]]&gt;=35,"Pass","Fail")</f>
        <v>Pass</v>
      </c>
      <c r="K37" t="s">
        <v>264</v>
      </c>
      <c r="L37">
        <f>SUMIF(Table6[Name],K37,Table6[Marks])</f>
        <v>177.2</v>
      </c>
      <c r="M37" s="53">
        <f>AVERAGEIF(Table6[Name],K37,Table6[Marks])</f>
        <v>35.44</v>
      </c>
    </row>
    <row r="38" spans="1:13" ht="14.25" customHeight="1">
      <c r="A38" s="4" t="s">
        <v>246</v>
      </c>
      <c r="B38" s="2" t="s">
        <v>239</v>
      </c>
      <c r="C38" s="51">
        <v>29.7</v>
      </c>
      <c r="D38" s="2" t="str">
        <f>IF(Table6[[#This Row],[Marks]]&gt;70,"Distinction",IF(Table6[[#This Row],[Marks]]&gt;60,"First",IF(Table6[[#This Row],[Marks]]&gt;35,"Pass","Fail")))</f>
        <v>Fail</v>
      </c>
      <c r="E38" s="2" t="str">
        <f>IF(Table6[[#This Row],[Marks]]&gt;=35,"Pass","Fail")</f>
        <v>Fail</v>
      </c>
    </row>
    <row r="39" spans="1:13" ht="14.25" customHeight="1">
      <c r="A39" s="4" t="s">
        <v>246</v>
      </c>
      <c r="B39" s="2" t="s">
        <v>224</v>
      </c>
      <c r="C39" s="51">
        <v>47.6</v>
      </c>
      <c r="D39" s="2" t="str">
        <f>IF(Table6[[#This Row],[Marks]]&gt;70,"Distinction",IF(Table6[[#This Row],[Marks]]&gt;60,"First",IF(Table6[[#This Row],[Marks]]&gt;35,"Pass","Fail")))</f>
        <v>Pass</v>
      </c>
      <c r="E39" s="2" t="str">
        <f>IF(Table6[[#This Row],[Marks]]&gt;=35,"Pass","Fail")</f>
        <v>Pass</v>
      </c>
    </row>
    <row r="40" spans="1:13" ht="14.25" customHeight="1">
      <c r="A40" s="4" t="s">
        <v>247</v>
      </c>
      <c r="B40" s="2" t="s">
        <v>234</v>
      </c>
      <c r="C40" s="51">
        <v>42.5</v>
      </c>
      <c r="D40" s="2" t="str">
        <f>IF(Table6[[#This Row],[Marks]]&gt;70,"Distinction",IF(Table6[[#This Row],[Marks]]&gt;60,"First",IF(Table6[[#This Row],[Marks]]&gt;35,"Pass","Fail")))</f>
        <v>Pass</v>
      </c>
      <c r="E40" s="2" t="str">
        <f>IF(Table6[[#This Row],[Marks]]&gt;=35,"Pass","Fail")</f>
        <v>Pass</v>
      </c>
    </row>
    <row r="41" spans="1:13" ht="14.25" customHeight="1">
      <c r="A41" s="4" t="s">
        <v>247</v>
      </c>
      <c r="B41" s="2" t="s">
        <v>226</v>
      </c>
      <c r="C41" s="51">
        <v>13.9</v>
      </c>
      <c r="D41" s="2" t="str">
        <f>IF(Table6[[#This Row],[Marks]]&gt;70,"Distinction",IF(Table6[[#This Row],[Marks]]&gt;60,"First",IF(Table6[[#This Row],[Marks]]&gt;35,"Pass","Fail")))</f>
        <v>Fail</v>
      </c>
      <c r="E41" s="2" t="str">
        <f>IF(Table6[[#This Row],[Marks]]&gt;=35,"Pass","Fail")</f>
        <v>Fail</v>
      </c>
    </row>
    <row r="42" spans="1:13" ht="14.25" customHeight="1">
      <c r="A42" s="4" t="s">
        <v>247</v>
      </c>
      <c r="B42" s="2" t="s">
        <v>226</v>
      </c>
      <c r="C42" s="51">
        <v>17.5</v>
      </c>
      <c r="D42" s="2" t="str">
        <f>IF(Table6[[#This Row],[Marks]]&gt;70,"Distinction",IF(Table6[[#This Row],[Marks]]&gt;60,"First",IF(Table6[[#This Row],[Marks]]&gt;35,"Pass","Fail")))</f>
        <v>Fail</v>
      </c>
      <c r="E42" s="2" t="str">
        <f>IF(Table6[[#This Row],[Marks]]&gt;=35,"Pass","Fail")</f>
        <v>Fail</v>
      </c>
    </row>
    <row r="43" spans="1:13" ht="14.25" customHeight="1">
      <c r="A43" s="4" t="s">
        <v>247</v>
      </c>
      <c r="B43" s="2" t="s">
        <v>226</v>
      </c>
      <c r="C43" s="51">
        <v>4.7</v>
      </c>
      <c r="D43" s="2" t="str">
        <f>IF(Table6[[#This Row],[Marks]]&gt;70,"Distinction",IF(Table6[[#This Row],[Marks]]&gt;60,"First",IF(Table6[[#This Row],[Marks]]&gt;35,"Pass","Fail")))</f>
        <v>Fail</v>
      </c>
      <c r="E43" s="2" t="str">
        <f>IF(Table6[[#This Row],[Marks]]&gt;=35,"Pass","Fail")</f>
        <v>Fail</v>
      </c>
    </row>
    <row r="44" spans="1:13" ht="14.25" customHeight="1">
      <c r="A44" s="4" t="s">
        <v>248</v>
      </c>
      <c r="B44" s="2" t="s">
        <v>221</v>
      </c>
      <c r="C44" s="51">
        <v>2.7</v>
      </c>
      <c r="D44" s="2" t="str">
        <f>IF(Table6[[#This Row],[Marks]]&gt;70,"Distinction",IF(Table6[[#This Row],[Marks]]&gt;60,"First",IF(Table6[[#This Row],[Marks]]&gt;35,"Pass","Fail")))</f>
        <v>Fail</v>
      </c>
      <c r="E44" s="2" t="str">
        <f>IF(Table6[[#This Row],[Marks]]&gt;=35,"Pass","Fail")</f>
        <v>Fail</v>
      </c>
    </row>
    <row r="45" spans="1:13" ht="14.25" customHeight="1">
      <c r="A45" s="4" t="s">
        <v>248</v>
      </c>
      <c r="B45" s="2" t="s">
        <v>226</v>
      </c>
      <c r="C45" s="51">
        <v>86.8</v>
      </c>
      <c r="D45" s="2" t="str">
        <f>IF(Table6[[#This Row],[Marks]]&gt;70,"Distinction",IF(Table6[[#This Row],[Marks]]&gt;60,"First",IF(Table6[[#This Row],[Marks]]&gt;35,"Pass","Fail")))</f>
        <v>Distinction</v>
      </c>
      <c r="E45" s="2" t="str">
        <f>IF(Table6[[#This Row],[Marks]]&gt;=35,"Pass","Fail")</f>
        <v>Pass</v>
      </c>
    </row>
    <row r="46" spans="1:13" ht="14.25" customHeight="1">
      <c r="A46" s="4" t="s">
        <v>248</v>
      </c>
      <c r="B46" s="2" t="s">
        <v>226</v>
      </c>
      <c r="C46" s="51">
        <v>26.9</v>
      </c>
      <c r="D46" s="2" t="str">
        <f>IF(Table6[[#This Row],[Marks]]&gt;70,"Distinction",IF(Table6[[#This Row],[Marks]]&gt;60,"First",IF(Table6[[#This Row],[Marks]]&gt;35,"Pass","Fail")))</f>
        <v>Fail</v>
      </c>
      <c r="E46" s="2" t="str">
        <f>IF(Table6[[#This Row],[Marks]]&gt;=35,"Pass","Fail")</f>
        <v>Fail</v>
      </c>
    </row>
    <row r="47" spans="1:13" ht="14.25" customHeight="1">
      <c r="A47" s="4" t="s">
        <v>248</v>
      </c>
      <c r="B47" s="2" t="s">
        <v>226</v>
      </c>
      <c r="C47" s="51">
        <v>1.1000000000000001</v>
      </c>
      <c r="D47" s="2" t="str">
        <f>IF(Table6[[#This Row],[Marks]]&gt;70,"Distinction",IF(Table6[[#This Row],[Marks]]&gt;60,"First",IF(Table6[[#This Row],[Marks]]&gt;35,"Pass","Fail")))</f>
        <v>Fail</v>
      </c>
      <c r="E47" s="2" t="str">
        <f>IF(Table6[[#This Row],[Marks]]&gt;=35,"Pass","Fail")</f>
        <v>Fail</v>
      </c>
    </row>
    <row r="48" spans="1:13" ht="14.25" customHeight="1">
      <c r="A48" s="4" t="s">
        <v>248</v>
      </c>
      <c r="B48" s="2" t="s">
        <v>234</v>
      </c>
      <c r="C48" s="51">
        <v>87.4</v>
      </c>
      <c r="D48" s="2" t="str">
        <f>IF(Table6[[#This Row],[Marks]]&gt;70,"Distinction",IF(Table6[[#This Row],[Marks]]&gt;60,"First",IF(Table6[[#This Row],[Marks]]&gt;35,"Pass","Fail")))</f>
        <v>Distinction</v>
      </c>
      <c r="E48" s="2" t="str">
        <f>IF(Table6[[#This Row],[Marks]]&gt;=35,"Pass","Fail")</f>
        <v>Pass</v>
      </c>
    </row>
    <row r="49" spans="1:5" ht="14.25" customHeight="1">
      <c r="A49" s="4" t="s">
        <v>249</v>
      </c>
      <c r="B49" s="2" t="s">
        <v>224</v>
      </c>
      <c r="C49" s="51">
        <v>29.4</v>
      </c>
      <c r="D49" s="2" t="str">
        <f>IF(Table6[[#This Row],[Marks]]&gt;70,"Distinction",IF(Table6[[#This Row],[Marks]]&gt;60,"First",IF(Table6[[#This Row],[Marks]]&gt;35,"Pass","Fail")))</f>
        <v>Fail</v>
      </c>
      <c r="E49" s="2" t="str">
        <f>IF(Table6[[#This Row],[Marks]]&gt;=35,"Pass","Fail")</f>
        <v>Fail</v>
      </c>
    </row>
    <row r="50" spans="1:5" ht="14.25" customHeight="1">
      <c r="A50" s="4" t="s">
        <v>250</v>
      </c>
      <c r="B50" s="2" t="s">
        <v>224</v>
      </c>
      <c r="C50" s="51">
        <v>10.4</v>
      </c>
      <c r="D50" s="2" t="str">
        <f>IF(Table6[[#This Row],[Marks]]&gt;70,"Distinction",IF(Table6[[#This Row],[Marks]]&gt;60,"First",IF(Table6[[#This Row],[Marks]]&gt;35,"Pass","Fail")))</f>
        <v>Fail</v>
      </c>
      <c r="E50" s="2" t="str">
        <f>IF(Table6[[#This Row],[Marks]]&gt;=35,"Pass","Fail")</f>
        <v>Fail</v>
      </c>
    </row>
    <row r="51" spans="1:5" ht="14.25" customHeight="1">
      <c r="A51" s="4" t="s">
        <v>250</v>
      </c>
      <c r="B51" s="2" t="s">
        <v>234</v>
      </c>
      <c r="C51" s="51">
        <v>89.5</v>
      </c>
      <c r="D51" s="2" t="str">
        <f>IF(Table6[[#This Row],[Marks]]&gt;70,"Distinction",IF(Table6[[#This Row],[Marks]]&gt;60,"First",IF(Table6[[#This Row],[Marks]]&gt;35,"Pass","Fail")))</f>
        <v>Distinction</v>
      </c>
      <c r="E51" s="2" t="str">
        <f>IF(Table6[[#This Row],[Marks]]&gt;=35,"Pass","Fail")</f>
        <v>Pass</v>
      </c>
    </row>
    <row r="52" spans="1:5" ht="14.25" customHeight="1">
      <c r="A52" s="4" t="s">
        <v>251</v>
      </c>
      <c r="B52" s="2" t="s">
        <v>226</v>
      </c>
      <c r="C52" s="51">
        <v>55.4</v>
      </c>
      <c r="D52" s="2" t="str">
        <f>IF(Table6[[#This Row],[Marks]]&gt;70,"Distinction",IF(Table6[[#This Row],[Marks]]&gt;60,"First",IF(Table6[[#This Row],[Marks]]&gt;35,"Pass","Fail")))</f>
        <v>Pass</v>
      </c>
      <c r="E52" s="2" t="str">
        <f>IF(Table6[[#This Row],[Marks]]&gt;=35,"Pass","Fail")</f>
        <v>Pass</v>
      </c>
    </row>
    <row r="53" spans="1:5" ht="14.25" customHeight="1">
      <c r="A53" s="4" t="s">
        <v>251</v>
      </c>
      <c r="B53" s="2" t="s">
        <v>239</v>
      </c>
      <c r="C53" s="51">
        <v>91.4</v>
      </c>
      <c r="D53" s="2" t="str">
        <f>IF(Table6[[#This Row],[Marks]]&gt;70,"Distinction",IF(Table6[[#This Row],[Marks]]&gt;60,"First",IF(Table6[[#This Row],[Marks]]&gt;35,"Pass","Fail")))</f>
        <v>Distinction</v>
      </c>
      <c r="E53" s="2" t="str">
        <f>IF(Table6[[#This Row],[Marks]]&gt;=35,"Pass","Fail")</f>
        <v>Pass</v>
      </c>
    </row>
    <row r="54" spans="1:5" ht="14.25" customHeight="1">
      <c r="A54" s="4" t="s">
        <v>252</v>
      </c>
      <c r="B54" s="2" t="s">
        <v>239</v>
      </c>
      <c r="C54" s="51">
        <v>20.8</v>
      </c>
      <c r="D54" s="2" t="str">
        <f>IF(Table6[[#This Row],[Marks]]&gt;70,"Distinction",IF(Table6[[#This Row],[Marks]]&gt;60,"First",IF(Table6[[#This Row],[Marks]]&gt;35,"Pass","Fail")))</f>
        <v>Fail</v>
      </c>
      <c r="E54" s="2" t="str">
        <f>IF(Table6[[#This Row],[Marks]]&gt;=35,"Pass","Fail")</f>
        <v>Fail</v>
      </c>
    </row>
    <row r="55" spans="1:5" ht="14.25" customHeight="1">
      <c r="A55" s="4" t="s">
        <v>253</v>
      </c>
      <c r="B55" s="2" t="s">
        <v>239</v>
      </c>
      <c r="C55" s="51">
        <v>18.100000000000001</v>
      </c>
      <c r="D55" s="2" t="str">
        <f>IF(Table6[[#This Row],[Marks]]&gt;70,"Distinction",IF(Table6[[#This Row],[Marks]]&gt;60,"First",IF(Table6[[#This Row],[Marks]]&gt;35,"Pass","Fail")))</f>
        <v>Fail</v>
      </c>
      <c r="E55" s="2" t="str">
        <f>IF(Table6[[#This Row],[Marks]]&gt;=35,"Pass","Fail")</f>
        <v>Fail</v>
      </c>
    </row>
    <row r="56" spans="1:5" ht="14.25" customHeight="1">
      <c r="A56" s="4" t="s">
        <v>253</v>
      </c>
      <c r="B56" s="2" t="s">
        <v>221</v>
      </c>
      <c r="C56" s="51">
        <v>89.3</v>
      </c>
      <c r="D56" s="2" t="str">
        <f>IF(Table6[[#This Row],[Marks]]&gt;70,"Distinction",IF(Table6[[#This Row],[Marks]]&gt;60,"First",IF(Table6[[#This Row],[Marks]]&gt;35,"Pass","Fail")))</f>
        <v>Distinction</v>
      </c>
      <c r="E56" s="2" t="str">
        <f>IF(Table6[[#This Row],[Marks]]&gt;=35,"Pass","Fail")</f>
        <v>Pass</v>
      </c>
    </row>
    <row r="57" spans="1:5" ht="14.25" customHeight="1">
      <c r="A57" s="4" t="s">
        <v>253</v>
      </c>
      <c r="B57" s="2" t="s">
        <v>224</v>
      </c>
      <c r="C57" s="51">
        <v>25.9</v>
      </c>
      <c r="D57" s="2" t="str">
        <f>IF(Table6[[#This Row],[Marks]]&gt;70,"Distinction",IF(Table6[[#This Row],[Marks]]&gt;60,"First",IF(Table6[[#This Row],[Marks]]&gt;35,"Pass","Fail")))</f>
        <v>Fail</v>
      </c>
      <c r="E57" s="2" t="str">
        <f>IF(Table6[[#This Row],[Marks]]&gt;=35,"Pass","Fail")</f>
        <v>Fail</v>
      </c>
    </row>
    <row r="58" spans="1:5" ht="14.25" customHeight="1">
      <c r="A58" s="4" t="s">
        <v>253</v>
      </c>
      <c r="B58" s="2" t="s">
        <v>234</v>
      </c>
      <c r="C58" s="51">
        <v>48.7</v>
      </c>
      <c r="D58" s="2" t="str">
        <f>IF(Table6[[#This Row],[Marks]]&gt;70,"Distinction",IF(Table6[[#This Row],[Marks]]&gt;60,"First",IF(Table6[[#This Row],[Marks]]&gt;35,"Pass","Fail")))</f>
        <v>Pass</v>
      </c>
      <c r="E58" s="2" t="str">
        <f>IF(Table6[[#This Row],[Marks]]&gt;=35,"Pass","Fail")</f>
        <v>Pass</v>
      </c>
    </row>
    <row r="59" spans="1:5" ht="14.25" customHeight="1">
      <c r="A59" s="4" t="s">
        <v>253</v>
      </c>
      <c r="B59" s="2" t="s">
        <v>239</v>
      </c>
      <c r="C59" s="51">
        <v>63.3</v>
      </c>
      <c r="D59" s="2" t="str">
        <f>IF(Table6[[#This Row],[Marks]]&gt;70,"Distinction",IF(Table6[[#This Row],[Marks]]&gt;60,"First",IF(Table6[[#This Row],[Marks]]&gt;35,"Pass","Fail")))</f>
        <v>First</v>
      </c>
      <c r="E59" s="2" t="str">
        <f>IF(Table6[[#This Row],[Marks]]&gt;=35,"Pass","Fail")</f>
        <v>Pass</v>
      </c>
    </row>
    <row r="60" spans="1:5" ht="14.25" customHeight="1">
      <c r="A60" s="4" t="s">
        <v>253</v>
      </c>
      <c r="B60" s="2" t="s">
        <v>239</v>
      </c>
      <c r="C60" s="51">
        <v>83.5</v>
      </c>
      <c r="D60" s="2" t="str">
        <f>IF(Table6[[#This Row],[Marks]]&gt;70,"Distinction",IF(Table6[[#This Row],[Marks]]&gt;60,"First",IF(Table6[[#This Row],[Marks]]&gt;35,"Pass","Fail")))</f>
        <v>Distinction</v>
      </c>
      <c r="E60" s="2" t="str">
        <f>IF(Table6[[#This Row],[Marks]]&gt;=35,"Pass","Fail")</f>
        <v>Pass</v>
      </c>
    </row>
    <row r="61" spans="1:5" ht="14.25" customHeight="1">
      <c r="A61" s="4" t="s">
        <v>253</v>
      </c>
      <c r="B61" s="2" t="s">
        <v>226</v>
      </c>
      <c r="C61" s="51">
        <v>11.8</v>
      </c>
      <c r="D61" s="2" t="str">
        <f>IF(Table6[[#This Row],[Marks]]&gt;70,"Distinction",IF(Table6[[#This Row],[Marks]]&gt;60,"First",IF(Table6[[#This Row],[Marks]]&gt;35,"Pass","Fail")))</f>
        <v>Fail</v>
      </c>
      <c r="E61" s="2" t="str">
        <f>IF(Table6[[#This Row],[Marks]]&gt;=35,"Pass","Fail")</f>
        <v>Fail</v>
      </c>
    </row>
    <row r="62" spans="1:5" ht="14.25" customHeight="1">
      <c r="A62" s="4" t="s">
        <v>254</v>
      </c>
      <c r="B62" s="2" t="s">
        <v>226</v>
      </c>
      <c r="C62" s="51">
        <v>40.9</v>
      </c>
      <c r="D62" s="2" t="str">
        <f>IF(Table6[[#This Row],[Marks]]&gt;70,"Distinction",IF(Table6[[#This Row],[Marks]]&gt;60,"First",IF(Table6[[#This Row],[Marks]]&gt;35,"Pass","Fail")))</f>
        <v>Pass</v>
      </c>
      <c r="E62" s="2" t="str">
        <f>IF(Table6[[#This Row],[Marks]]&gt;=35,"Pass","Fail")</f>
        <v>Pass</v>
      </c>
    </row>
    <row r="63" spans="1:5" ht="14.25" customHeight="1">
      <c r="A63" s="4" t="s">
        <v>254</v>
      </c>
      <c r="B63" s="2" t="s">
        <v>226</v>
      </c>
      <c r="C63" s="51">
        <v>2.5</v>
      </c>
      <c r="D63" s="2" t="str">
        <f>IF(Table6[[#This Row],[Marks]]&gt;70,"Distinction",IF(Table6[[#This Row],[Marks]]&gt;60,"First",IF(Table6[[#This Row],[Marks]]&gt;35,"Pass","Fail")))</f>
        <v>Fail</v>
      </c>
      <c r="E63" s="2" t="str">
        <f>IF(Table6[[#This Row],[Marks]]&gt;=35,"Pass","Fail")</f>
        <v>Fail</v>
      </c>
    </row>
    <row r="64" spans="1:5" ht="14.25" customHeight="1">
      <c r="A64" s="4" t="s">
        <v>254</v>
      </c>
      <c r="B64" s="2" t="s">
        <v>226</v>
      </c>
      <c r="C64" s="51">
        <v>80</v>
      </c>
      <c r="D64" s="2" t="str">
        <f>IF(Table6[[#This Row],[Marks]]&gt;70,"Distinction",IF(Table6[[#This Row],[Marks]]&gt;60,"First",IF(Table6[[#This Row],[Marks]]&gt;35,"Pass","Fail")))</f>
        <v>Distinction</v>
      </c>
      <c r="E64" s="2" t="str">
        <f>IF(Table6[[#This Row],[Marks]]&gt;=35,"Pass","Fail")</f>
        <v>Pass</v>
      </c>
    </row>
    <row r="65" spans="1:5" ht="14.25" customHeight="1">
      <c r="A65" s="4" t="s">
        <v>255</v>
      </c>
      <c r="B65" s="2" t="s">
        <v>234</v>
      </c>
      <c r="C65" s="51">
        <v>2.2000000000000002</v>
      </c>
      <c r="D65" s="2" t="str">
        <f>IF(Table6[[#This Row],[Marks]]&gt;70,"Distinction",IF(Table6[[#This Row],[Marks]]&gt;60,"First",IF(Table6[[#This Row],[Marks]]&gt;35,"Pass","Fail")))</f>
        <v>Fail</v>
      </c>
      <c r="E65" s="2" t="str">
        <f>IF(Table6[[#This Row],[Marks]]&gt;=35,"Pass","Fail")</f>
        <v>Fail</v>
      </c>
    </row>
    <row r="66" spans="1:5" ht="14.25" customHeight="1">
      <c r="A66" s="4" t="s">
        <v>255</v>
      </c>
      <c r="B66" s="2" t="s">
        <v>221</v>
      </c>
      <c r="C66" s="51">
        <v>65.099999999999994</v>
      </c>
      <c r="D66" s="2" t="str">
        <f>IF(Table6[[#This Row],[Marks]]&gt;70,"Distinction",IF(Table6[[#This Row],[Marks]]&gt;60,"First",IF(Table6[[#This Row],[Marks]]&gt;35,"Pass","Fail")))</f>
        <v>First</v>
      </c>
      <c r="E66" s="2" t="str">
        <f>IF(Table6[[#This Row],[Marks]]&gt;=35,"Pass","Fail")</f>
        <v>Pass</v>
      </c>
    </row>
    <row r="67" spans="1:5" ht="14.25" customHeight="1">
      <c r="A67" s="4" t="s">
        <v>255</v>
      </c>
      <c r="B67" s="2" t="s">
        <v>239</v>
      </c>
      <c r="C67" s="51">
        <v>41.9</v>
      </c>
      <c r="D67" s="2" t="str">
        <f>IF(Table6[[#This Row],[Marks]]&gt;70,"Distinction",IF(Table6[[#This Row],[Marks]]&gt;60,"First",IF(Table6[[#This Row],[Marks]]&gt;35,"Pass","Fail")))</f>
        <v>Pass</v>
      </c>
      <c r="E67" s="2" t="str">
        <f>IF(Table6[[#This Row],[Marks]]&gt;=35,"Pass","Fail")</f>
        <v>Pass</v>
      </c>
    </row>
    <row r="68" spans="1:5" ht="14.25" customHeight="1">
      <c r="A68" s="4" t="s">
        <v>255</v>
      </c>
      <c r="B68" s="2" t="s">
        <v>234</v>
      </c>
      <c r="C68" s="51">
        <v>38.299999999999997</v>
      </c>
      <c r="D68" s="2" t="str">
        <f>IF(Table6[[#This Row],[Marks]]&gt;70,"Distinction",IF(Table6[[#This Row],[Marks]]&gt;60,"First",IF(Table6[[#This Row],[Marks]]&gt;35,"Pass","Fail")))</f>
        <v>Pass</v>
      </c>
      <c r="E68" s="2" t="str">
        <f>IF(Table6[[#This Row],[Marks]]&gt;=35,"Pass","Fail")</f>
        <v>Pass</v>
      </c>
    </row>
    <row r="69" spans="1:5" ht="14.25" customHeight="1">
      <c r="A69" s="4" t="s">
        <v>256</v>
      </c>
      <c r="B69" s="2" t="s">
        <v>239</v>
      </c>
      <c r="C69" s="51">
        <v>67.2</v>
      </c>
      <c r="D69" s="2" t="str">
        <f>IF(Table6[[#This Row],[Marks]]&gt;70,"Distinction",IF(Table6[[#This Row],[Marks]]&gt;60,"First",IF(Table6[[#This Row],[Marks]]&gt;35,"Pass","Fail")))</f>
        <v>First</v>
      </c>
      <c r="E69" s="2" t="str">
        <f>IF(Table6[[#This Row],[Marks]]&gt;=35,"Pass","Fail")</f>
        <v>Pass</v>
      </c>
    </row>
    <row r="70" spans="1:5" ht="14.25" customHeight="1">
      <c r="A70" s="4" t="s">
        <v>256</v>
      </c>
      <c r="B70" s="2" t="s">
        <v>224</v>
      </c>
      <c r="C70" s="51">
        <v>65.3</v>
      </c>
      <c r="D70" s="2" t="str">
        <f>IF(Table6[[#This Row],[Marks]]&gt;70,"Distinction",IF(Table6[[#This Row],[Marks]]&gt;60,"First",IF(Table6[[#This Row],[Marks]]&gt;35,"Pass","Fail")))</f>
        <v>First</v>
      </c>
      <c r="E70" s="2" t="str">
        <f>IF(Table6[[#This Row],[Marks]]&gt;=35,"Pass","Fail")</f>
        <v>Pass</v>
      </c>
    </row>
    <row r="71" spans="1:5" ht="14.25" customHeight="1">
      <c r="A71" s="4" t="s">
        <v>256</v>
      </c>
      <c r="B71" s="2" t="s">
        <v>226</v>
      </c>
      <c r="C71" s="51">
        <v>25.8</v>
      </c>
      <c r="D71" s="2" t="str">
        <f>IF(Table6[[#This Row],[Marks]]&gt;70,"Distinction",IF(Table6[[#This Row],[Marks]]&gt;60,"First",IF(Table6[[#This Row],[Marks]]&gt;35,"Pass","Fail")))</f>
        <v>Fail</v>
      </c>
      <c r="E71" s="2" t="str">
        <f>IF(Table6[[#This Row],[Marks]]&gt;=35,"Pass","Fail")</f>
        <v>Fail</v>
      </c>
    </row>
    <row r="72" spans="1:5" ht="14.25" customHeight="1">
      <c r="A72" s="4" t="s">
        <v>257</v>
      </c>
      <c r="B72" s="2" t="s">
        <v>226</v>
      </c>
      <c r="C72" s="51">
        <v>2.7</v>
      </c>
      <c r="D72" s="2" t="str">
        <f>IF(Table6[[#This Row],[Marks]]&gt;70,"Distinction",IF(Table6[[#This Row],[Marks]]&gt;60,"First",IF(Table6[[#This Row],[Marks]]&gt;35,"Pass","Fail")))</f>
        <v>Fail</v>
      </c>
      <c r="E72" s="2" t="str">
        <f>IF(Table6[[#This Row],[Marks]]&gt;=35,"Pass","Fail")</f>
        <v>Fail</v>
      </c>
    </row>
    <row r="73" spans="1:5" ht="14.25" customHeight="1">
      <c r="A73" s="4" t="s">
        <v>257</v>
      </c>
      <c r="B73" s="2" t="s">
        <v>221</v>
      </c>
      <c r="C73" s="51">
        <v>54.2</v>
      </c>
      <c r="D73" s="2" t="str">
        <f>IF(Table6[[#This Row],[Marks]]&gt;70,"Distinction",IF(Table6[[#This Row],[Marks]]&gt;60,"First",IF(Table6[[#This Row],[Marks]]&gt;35,"Pass","Fail")))</f>
        <v>Pass</v>
      </c>
      <c r="E73" s="2" t="str">
        <f>IF(Table6[[#This Row],[Marks]]&gt;=35,"Pass","Fail")</f>
        <v>Pass</v>
      </c>
    </row>
    <row r="74" spans="1:5" ht="14.25" customHeight="1">
      <c r="A74" s="4" t="s">
        <v>257</v>
      </c>
      <c r="B74" s="2" t="s">
        <v>221</v>
      </c>
      <c r="C74" s="51">
        <v>57.7</v>
      </c>
      <c r="D74" s="2" t="str">
        <f>IF(Table6[[#This Row],[Marks]]&gt;70,"Distinction",IF(Table6[[#This Row],[Marks]]&gt;60,"First",IF(Table6[[#This Row],[Marks]]&gt;35,"Pass","Fail")))</f>
        <v>Pass</v>
      </c>
      <c r="E74" s="2" t="str">
        <f>IF(Table6[[#This Row],[Marks]]&gt;=35,"Pass","Fail")</f>
        <v>Pass</v>
      </c>
    </row>
    <row r="75" spans="1:5" ht="14.25" customHeight="1">
      <c r="A75" s="4" t="s">
        <v>257</v>
      </c>
      <c r="B75" s="2" t="s">
        <v>224</v>
      </c>
      <c r="C75" s="51">
        <v>38.9</v>
      </c>
      <c r="D75" s="2" t="str">
        <f>IF(Table6[[#This Row],[Marks]]&gt;70,"Distinction",IF(Table6[[#This Row],[Marks]]&gt;60,"First",IF(Table6[[#This Row],[Marks]]&gt;35,"Pass","Fail")))</f>
        <v>Pass</v>
      </c>
      <c r="E75" s="2" t="str">
        <f>IF(Table6[[#This Row],[Marks]]&gt;=35,"Pass","Fail")</f>
        <v>Pass</v>
      </c>
    </row>
    <row r="76" spans="1:5" ht="14.25" customHeight="1">
      <c r="A76" s="4" t="s">
        <v>258</v>
      </c>
      <c r="B76" s="2" t="s">
        <v>226</v>
      </c>
      <c r="C76" s="51">
        <v>89.6</v>
      </c>
      <c r="D76" s="2" t="str">
        <f>IF(Table6[[#This Row],[Marks]]&gt;70,"Distinction",IF(Table6[[#This Row],[Marks]]&gt;60,"First",IF(Table6[[#This Row],[Marks]]&gt;35,"Pass","Fail")))</f>
        <v>Distinction</v>
      </c>
      <c r="E76" s="2" t="str">
        <f>IF(Table6[[#This Row],[Marks]]&gt;=35,"Pass","Fail")</f>
        <v>Pass</v>
      </c>
    </row>
    <row r="77" spans="1:5" ht="14.25" customHeight="1">
      <c r="A77" s="4" t="s">
        <v>258</v>
      </c>
      <c r="B77" s="2" t="s">
        <v>224</v>
      </c>
      <c r="C77" s="51">
        <v>40.9</v>
      </c>
      <c r="D77" s="2" t="str">
        <f>IF(Table6[[#This Row],[Marks]]&gt;70,"Distinction",IF(Table6[[#This Row],[Marks]]&gt;60,"First",IF(Table6[[#This Row],[Marks]]&gt;35,"Pass","Fail")))</f>
        <v>Pass</v>
      </c>
      <c r="E77" s="2" t="str">
        <f>IF(Table6[[#This Row],[Marks]]&gt;=35,"Pass","Fail")</f>
        <v>Pass</v>
      </c>
    </row>
    <row r="78" spans="1:5" ht="14.25" customHeight="1">
      <c r="A78" s="4" t="s">
        <v>258</v>
      </c>
      <c r="B78" s="2" t="s">
        <v>221</v>
      </c>
      <c r="C78" s="51">
        <v>80</v>
      </c>
      <c r="D78" s="2" t="str">
        <f>IF(Table6[[#This Row],[Marks]]&gt;70,"Distinction",IF(Table6[[#This Row],[Marks]]&gt;60,"First",IF(Table6[[#This Row],[Marks]]&gt;35,"Pass","Fail")))</f>
        <v>Distinction</v>
      </c>
      <c r="E78" s="2" t="str">
        <f>IF(Table6[[#This Row],[Marks]]&gt;=35,"Pass","Fail")</f>
        <v>Pass</v>
      </c>
    </row>
    <row r="79" spans="1:5" ht="14.25" customHeight="1">
      <c r="A79" s="4" t="s">
        <v>259</v>
      </c>
      <c r="B79" s="2" t="s">
        <v>234</v>
      </c>
      <c r="C79" s="51">
        <v>85.6</v>
      </c>
      <c r="D79" s="2" t="str">
        <f>IF(Table6[[#This Row],[Marks]]&gt;70,"Distinction",IF(Table6[[#This Row],[Marks]]&gt;60,"First",IF(Table6[[#This Row],[Marks]]&gt;35,"Pass","Fail")))</f>
        <v>Distinction</v>
      </c>
      <c r="E79" s="2" t="str">
        <f>IF(Table6[[#This Row],[Marks]]&gt;=35,"Pass","Fail")</f>
        <v>Pass</v>
      </c>
    </row>
    <row r="80" spans="1:5" ht="14.25" customHeight="1">
      <c r="A80" s="4" t="s">
        <v>259</v>
      </c>
      <c r="B80" s="2" t="s">
        <v>234</v>
      </c>
      <c r="C80" s="51">
        <v>98.4</v>
      </c>
      <c r="D80" s="2" t="str">
        <f>IF(Table6[[#This Row],[Marks]]&gt;70,"Distinction",IF(Table6[[#This Row],[Marks]]&gt;60,"First",IF(Table6[[#This Row],[Marks]]&gt;35,"Pass","Fail")))</f>
        <v>Distinction</v>
      </c>
      <c r="E80" s="2" t="str">
        <f>IF(Table6[[#This Row],[Marks]]&gt;=35,"Pass","Fail")</f>
        <v>Pass</v>
      </c>
    </row>
    <row r="81" spans="1:5" ht="14.25" customHeight="1">
      <c r="A81" s="4" t="s">
        <v>259</v>
      </c>
      <c r="B81" s="2" t="s">
        <v>234</v>
      </c>
      <c r="C81" s="51">
        <v>59.7</v>
      </c>
      <c r="D81" s="2" t="str">
        <f>IF(Table6[[#This Row],[Marks]]&gt;70,"Distinction",IF(Table6[[#This Row],[Marks]]&gt;60,"First",IF(Table6[[#This Row],[Marks]]&gt;35,"Pass","Fail")))</f>
        <v>Pass</v>
      </c>
      <c r="E81" s="2" t="str">
        <f>IF(Table6[[#This Row],[Marks]]&gt;=35,"Pass","Fail")</f>
        <v>Pass</v>
      </c>
    </row>
    <row r="82" spans="1:5" ht="14.25" customHeight="1">
      <c r="A82" s="4" t="s">
        <v>260</v>
      </c>
      <c r="B82" s="2" t="s">
        <v>234</v>
      </c>
      <c r="C82" s="51">
        <v>71.599999999999994</v>
      </c>
      <c r="D82" s="2" t="str">
        <f>IF(Table6[[#This Row],[Marks]]&gt;70,"Distinction",IF(Table6[[#This Row],[Marks]]&gt;60,"First",IF(Table6[[#This Row],[Marks]]&gt;35,"Pass","Fail")))</f>
        <v>Distinction</v>
      </c>
      <c r="E82" s="2" t="str">
        <f>IF(Table6[[#This Row],[Marks]]&gt;=35,"Pass","Fail")</f>
        <v>Pass</v>
      </c>
    </row>
    <row r="83" spans="1:5" ht="14.25" customHeight="1">
      <c r="A83" s="4" t="s">
        <v>260</v>
      </c>
      <c r="B83" s="2" t="s">
        <v>224</v>
      </c>
      <c r="C83" s="51">
        <v>20.5</v>
      </c>
      <c r="D83" s="2" t="str">
        <f>IF(Table6[[#This Row],[Marks]]&gt;70,"Distinction",IF(Table6[[#This Row],[Marks]]&gt;60,"First",IF(Table6[[#This Row],[Marks]]&gt;35,"Pass","Fail")))</f>
        <v>Fail</v>
      </c>
      <c r="E83" s="2" t="str">
        <f>IF(Table6[[#This Row],[Marks]]&gt;=35,"Pass","Fail")</f>
        <v>Fail</v>
      </c>
    </row>
    <row r="84" spans="1:5" ht="14.25" customHeight="1">
      <c r="A84" s="4" t="s">
        <v>260</v>
      </c>
      <c r="B84" s="2" t="s">
        <v>226</v>
      </c>
      <c r="C84" s="51">
        <v>1.3</v>
      </c>
      <c r="D84" s="2" t="str">
        <f>IF(Table6[[#This Row],[Marks]]&gt;70,"Distinction",IF(Table6[[#This Row],[Marks]]&gt;60,"First",IF(Table6[[#This Row],[Marks]]&gt;35,"Pass","Fail")))</f>
        <v>Fail</v>
      </c>
      <c r="E84" s="2" t="str">
        <f>IF(Table6[[#This Row],[Marks]]&gt;=35,"Pass","Fail")</f>
        <v>Fail</v>
      </c>
    </row>
    <row r="85" spans="1:5" ht="14.25" customHeight="1">
      <c r="A85" s="4" t="s">
        <v>260</v>
      </c>
      <c r="B85" s="2" t="s">
        <v>221</v>
      </c>
      <c r="C85" s="51">
        <v>26.8</v>
      </c>
      <c r="D85" s="2" t="str">
        <f>IF(Table6[[#This Row],[Marks]]&gt;70,"Distinction",IF(Table6[[#This Row],[Marks]]&gt;60,"First",IF(Table6[[#This Row],[Marks]]&gt;35,"Pass","Fail")))</f>
        <v>Fail</v>
      </c>
      <c r="E85" s="2" t="str">
        <f>IF(Table6[[#This Row],[Marks]]&gt;=35,"Pass","Fail")</f>
        <v>Fail</v>
      </c>
    </row>
    <row r="86" spans="1:5" ht="14.25" customHeight="1">
      <c r="A86" s="4" t="s">
        <v>260</v>
      </c>
      <c r="B86" s="2" t="s">
        <v>226</v>
      </c>
      <c r="C86" s="51">
        <v>62.4</v>
      </c>
      <c r="D86" s="2" t="str">
        <f>IF(Table6[[#This Row],[Marks]]&gt;70,"Distinction",IF(Table6[[#This Row],[Marks]]&gt;60,"First",IF(Table6[[#This Row],[Marks]]&gt;35,"Pass","Fail")))</f>
        <v>First</v>
      </c>
      <c r="E86" s="2" t="str">
        <f>IF(Table6[[#This Row],[Marks]]&gt;=35,"Pass","Fail")</f>
        <v>Pass</v>
      </c>
    </row>
    <row r="87" spans="1:5" ht="14.25" customHeight="1">
      <c r="A87" s="4" t="s">
        <v>260</v>
      </c>
      <c r="B87" s="2" t="s">
        <v>226</v>
      </c>
      <c r="C87" s="51">
        <v>24.5</v>
      </c>
      <c r="D87" s="2" t="str">
        <f>IF(Table6[[#This Row],[Marks]]&gt;70,"Distinction",IF(Table6[[#This Row],[Marks]]&gt;60,"First",IF(Table6[[#This Row],[Marks]]&gt;35,"Pass","Fail")))</f>
        <v>Fail</v>
      </c>
      <c r="E87" s="2" t="str">
        <f>IF(Table6[[#This Row],[Marks]]&gt;=35,"Pass","Fail")</f>
        <v>Fail</v>
      </c>
    </row>
    <row r="88" spans="1:5" ht="14.25" customHeight="1">
      <c r="A88" s="4" t="s">
        <v>260</v>
      </c>
      <c r="B88" s="2" t="s">
        <v>234</v>
      </c>
      <c r="C88" s="51">
        <v>93.7</v>
      </c>
      <c r="D88" s="2" t="str">
        <f>IF(Table6[[#This Row],[Marks]]&gt;70,"Distinction",IF(Table6[[#This Row],[Marks]]&gt;60,"First",IF(Table6[[#This Row],[Marks]]&gt;35,"Pass","Fail")))</f>
        <v>Distinction</v>
      </c>
      <c r="E88" s="2" t="str">
        <f>IF(Table6[[#This Row],[Marks]]&gt;=35,"Pass","Fail")</f>
        <v>Pass</v>
      </c>
    </row>
    <row r="89" spans="1:5" ht="14.25" customHeight="1">
      <c r="A89" s="4" t="s">
        <v>261</v>
      </c>
      <c r="B89" s="2" t="s">
        <v>226</v>
      </c>
      <c r="C89" s="51">
        <v>23.8</v>
      </c>
      <c r="D89" s="2" t="str">
        <f>IF(Table6[[#This Row],[Marks]]&gt;70,"Distinction",IF(Table6[[#This Row],[Marks]]&gt;60,"First",IF(Table6[[#This Row],[Marks]]&gt;35,"Pass","Fail")))</f>
        <v>Fail</v>
      </c>
      <c r="E89" s="2" t="str">
        <f>IF(Table6[[#This Row],[Marks]]&gt;=35,"Pass","Fail")</f>
        <v>Fail</v>
      </c>
    </row>
    <row r="90" spans="1:5" ht="14.25" customHeight="1">
      <c r="A90" s="4" t="s">
        <v>261</v>
      </c>
      <c r="B90" s="2" t="s">
        <v>239</v>
      </c>
      <c r="C90" s="51">
        <v>1.8</v>
      </c>
      <c r="D90" s="2" t="str">
        <f>IF(Table6[[#This Row],[Marks]]&gt;70,"Distinction",IF(Table6[[#This Row],[Marks]]&gt;60,"First",IF(Table6[[#This Row],[Marks]]&gt;35,"Pass","Fail")))</f>
        <v>Fail</v>
      </c>
      <c r="E90" s="2" t="str">
        <f>IF(Table6[[#This Row],[Marks]]&gt;=35,"Pass","Fail")</f>
        <v>Fail</v>
      </c>
    </row>
    <row r="91" spans="1:5" ht="14.25" customHeight="1">
      <c r="A91" s="4" t="s">
        <v>261</v>
      </c>
      <c r="B91" s="2" t="s">
        <v>239</v>
      </c>
      <c r="C91" s="51">
        <v>90</v>
      </c>
      <c r="D91" s="2" t="str">
        <f>IF(Table6[[#This Row],[Marks]]&gt;70,"Distinction",IF(Table6[[#This Row],[Marks]]&gt;60,"First",IF(Table6[[#This Row],[Marks]]&gt;35,"Pass","Fail")))</f>
        <v>Distinction</v>
      </c>
      <c r="E91" s="2" t="str">
        <f>IF(Table6[[#This Row],[Marks]]&gt;=35,"Pass","Fail")</f>
        <v>Pass</v>
      </c>
    </row>
    <row r="92" spans="1:5" ht="14.25" customHeight="1">
      <c r="A92" s="4" t="s">
        <v>261</v>
      </c>
      <c r="B92" s="2" t="s">
        <v>234</v>
      </c>
      <c r="C92" s="51">
        <v>16.600000000000001</v>
      </c>
      <c r="D92" s="2" t="str">
        <f>IF(Table6[[#This Row],[Marks]]&gt;70,"Distinction",IF(Table6[[#This Row],[Marks]]&gt;60,"First",IF(Table6[[#This Row],[Marks]]&gt;35,"Pass","Fail")))</f>
        <v>Fail</v>
      </c>
      <c r="E92" s="2" t="str">
        <f>IF(Table6[[#This Row],[Marks]]&gt;=35,"Pass","Fail")</f>
        <v>Fail</v>
      </c>
    </row>
    <row r="93" spans="1:5" ht="14.25" customHeight="1">
      <c r="A93" s="4" t="s">
        <v>262</v>
      </c>
      <c r="B93" s="2" t="s">
        <v>234</v>
      </c>
      <c r="C93" s="51">
        <v>55.2</v>
      </c>
      <c r="D93" s="2" t="str">
        <f>IF(Table6[[#This Row],[Marks]]&gt;70,"Distinction",IF(Table6[[#This Row],[Marks]]&gt;60,"First",IF(Table6[[#This Row],[Marks]]&gt;35,"Pass","Fail")))</f>
        <v>Pass</v>
      </c>
      <c r="E93" s="2" t="str">
        <f>IF(Table6[[#This Row],[Marks]]&gt;=35,"Pass","Fail")</f>
        <v>Pass</v>
      </c>
    </row>
    <row r="94" spans="1:5" ht="14.25" customHeight="1">
      <c r="A94" s="4" t="s">
        <v>262</v>
      </c>
      <c r="B94" s="2" t="s">
        <v>224</v>
      </c>
      <c r="C94" s="51">
        <v>43.6</v>
      </c>
      <c r="D94" s="2" t="str">
        <f>IF(Table6[[#This Row],[Marks]]&gt;70,"Distinction",IF(Table6[[#This Row],[Marks]]&gt;60,"First",IF(Table6[[#This Row],[Marks]]&gt;35,"Pass","Fail")))</f>
        <v>Pass</v>
      </c>
      <c r="E94" s="2" t="str">
        <f>IF(Table6[[#This Row],[Marks]]&gt;=35,"Pass","Fail")</f>
        <v>Pass</v>
      </c>
    </row>
    <row r="95" spans="1:5" ht="14.25" customHeight="1">
      <c r="A95" s="4" t="s">
        <v>262</v>
      </c>
      <c r="B95" s="2" t="s">
        <v>234</v>
      </c>
      <c r="C95" s="51">
        <v>28.9</v>
      </c>
      <c r="D95" s="2" t="str">
        <f>IF(Table6[[#This Row],[Marks]]&gt;70,"Distinction",IF(Table6[[#This Row],[Marks]]&gt;60,"First",IF(Table6[[#This Row],[Marks]]&gt;35,"Pass","Fail")))</f>
        <v>Fail</v>
      </c>
      <c r="E95" s="2" t="str">
        <f>IF(Table6[[#This Row],[Marks]]&gt;=35,"Pass","Fail")</f>
        <v>Fail</v>
      </c>
    </row>
    <row r="96" spans="1:5" ht="14.25" customHeight="1">
      <c r="A96" s="4" t="s">
        <v>263</v>
      </c>
      <c r="B96" s="2" t="s">
        <v>234</v>
      </c>
      <c r="C96" s="51">
        <v>94.8</v>
      </c>
      <c r="D96" s="2" t="str">
        <f>IF(Table6[[#This Row],[Marks]]&gt;70,"Distinction",IF(Table6[[#This Row],[Marks]]&gt;60,"First",IF(Table6[[#This Row],[Marks]]&gt;35,"Pass","Fail")))</f>
        <v>Distinction</v>
      </c>
      <c r="E96" s="2" t="str">
        <f>IF(Table6[[#This Row],[Marks]]&gt;=35,"Pass","Fail")</f>
        <v>Pass</v>
      </c>
    </row>
    <row r="97" spans="1:5" ht="14.25" customHeight="1">
      <c r="A97" s="4" t="s">
        <v>264</v>
      </c>
      <c r="B97" s="2" t="s">
        <v>221</v>
      </c>
      <c r="C97" s="51">
        <v>22.2</v>
      </c>
      <c r="D97" s="2" t="str">
        <f>IF(Table6[[#This Row],[Marks]]&gt;70,"Distinction",IF(Table6[[#This Row],[Marks]]&gt;60,"First",IF(Table6[[#This Row],[Marks]]&gt;35,"Pass","Fail")))</f>
        <v>Fail</v>
      </c>
      <c r="E97" s="2" t="str">
        <f>IF(Table6[[#This Row],[Marks]]&gt;=35,"Pass","Fail")</f>
        <v>Fail</v>
      </c>
    </row>
    <row r="98" spans="1:5" ht="14.25" customHeight="1">
      <c r="A98" s="4" t="s">
        <v>264</v>
      </c>
      <c r="B98" s="2" t="s">
        <v>221</v>
      </c>
      <c r="C98" s="51">
        <v>29.3</v>
      </c>
      <c r="D98" s="2" t="str">
        <f>IF(Table6[[#This Row],[Marks]]&gt;70,"Distinction",IF(Table6[[#This Row],[Marks]]&gt;60,"First",IF(Table6[[#This Row],[Marks]]&gt;35,"Pass","Fail")))</f>
        <v>Fail</v>
      </c>
      <c r="E98" s="2" t="str">
        <f>IF(Table6[[#This Row],[Marks]]&gt;=35,"Pass","Fail")</f>
        <v>Fail</v>
      </c>
    </row>
    <row r="99" spans="1:5" ht="14.25" customHeight="1">
      <c r="A99" s="4" t="s">
        <v>264</v>
      </c>
      <c r="B99" s="2" t="s">
        <v>224</v>
      </c>
      <c r="C99" s="51">
        <v>76.400000000000006</v>
      </c>
      <c r="D99" s="2" t="str">
        <f>IF(Table6[[#This Row],[Marks]]&gt;70,"Distinction",IF(Table6[[#This Row],[Marks]]&gt;60,"First",IF(Table6[[#This Row],[Marks]]&gt;35,"Pass","Fail")))</f>
        <v>Distinction</v>
      </c>
      <c r="E99" s="2" t="str">
        <f>IF(Table6[[#This Row],[Marks]]&gt;=35,"Pass","Fail")</f>
        <v>Pass</v>
      </c>
    </row>
    <row r="100" spans="1:5" ht="14.25" customHeight="1">
      <c r="A100" s="4" t="s">
        <v>264</v>
      </c>
      <c r="B100" s="2" t="s">
        <v>226</v>
      </c>
      <c r="C100" s="51">
        <v>13.7</v>
      </c>
      <c r="D100" s="2" t="str">
        <f>IF(Table6[[#This Row],[Marks]]&gt;70,"Distinction",IF(Table6[[#This Row],[Marks]]&gt;60,"First",IF(Table6[[#This Row],[Marks]]&gt;35,"Pass","Fail")))</f>
        <v>Fail</v>
      </c>
      <c r="E100" s="2" t="str">
        <f>IF(Table6[[#This Row],[Marks]]&gt;=35,"Pass","Fail")</f>
        <v>Fail</v>
      </c>
    </row>
    <row r="101" spans="1:5" ht="14.25" customHeight="1">
      <c r="A101" s="5" t="s">
        <v>264</v>
      </c>
      <c r="B101" s="6" t="s">
        <v>221</v>
      </c>
      <c r="C101" s="52">
        <v>35.6</v>
      </c>
      <c r="D101" s="2" t="str">
        <f>IF(Table6[[#This Row],[Marks]]&gt;70,"Distinction",IF(Table6[[#This Row],[Marks]]&gt;60,"First",IF(Table6[[#This Row],[Marks]]&gt;35,"Pass","Fail")))</f>
        <v>Pass</v>
      </c>
      <c r="E101" s="2" t="str">
        <f>IF(Table6[[#This Row],[Marks]]&gt;=35,"Pass","Fail")</f>
        <v>Pass</v>
      </c>
    </row>
    <row r="102" spans="1:5" ht="14.25" customHeight="1"/>
    <row r="103" spans="1:5" ht="14.25" customHeight="1"/>
    <row r="104" spans="1:5" ht="14.25" customHeight="1"/>
    <row r="105" spans="1:5" ht="14.25" customHeight="1"/>
    <row r="106" spans="1:5" ht="14.25" customHeight="1"/>
    <row r="107" spans="1:5" ht="14.25" customHeight="1"/>
    <row r="108" spans="1:5" ht="14.25" customHeight="1"/>
    <row r="109" spans="1:5" ht="14.25" customHeight="1"/>
    <row r="110" spans="1:5" ht="14.25" customHeight="1"/>
    <row r="111" spans="1:5" ht="14.25" customHeight="1"/>
    <row r="112" spans="1:5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:C101">
    <cfRule type="cellIs" dxfId="36" priority="1" operator="lessThan">
      <formula>30</formula>
    </cfRule>
  </conditionalFormatting>
  <dataValidations count="1">
    <dataValidation type="whole" allowBlank="1" showInputMessage="1" showErrorMessage="1" sqref="C2:C101" xr:uid="{3A1994A8-3504-4EFD-BB36-915C097C2515}">
      <formula1>1</formula1>
      <formula2>100</formula2>
    </dataValidation>
  </dataValidations>
  <pageMargins left="0.75" right="0.75" top="1" bottom="1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>
      <selection activeCell="B21" sqref="B21"/>
    </sheetView>
  </sheetViews>
  <sheetFormatPr defaultColWidth="14.42578125" defaultRowHeight="15" customHeight="1"/>
  <cols>
    <col min="1" max="1" width="8.7109375" customWidth="1"/>
    <col min="2" max="2" width="64.7109375" bestFit="1" customWidth="1"/>
    <col min="3" max="26" width="8.7109375" customWidth="1"/>
  </cols>
  <sheetData>
    <row r="1" spans="1:2" ht="14.25" customHeight="1">
      <c r="A1" s="1" t="s">
        <v>25</v>
      </c>
      <c r="B1" s="1" t="s">
        <v>26</v>
      </c>
    </row>
    <row r="2" spans="1:2" ht="14.25" customHeight="1">
      <c r="A2" s="1">
        <v>1</v>
      </c>
      <c r="B2" s="1" t="s">
        <v>265</v>
      </c>
    </row>
    <row r="3" spans="1:2" ht="14.25" customHeight="1">
      <c r="A3" s="1">
        <v>2</v>
      </c>
      <c r="B3" s="1" t="s">
        <v>266</v>
      </c>
    </row>
    <row r="4" spans="1:2" ht="14.25" customHeight="1">
      <c r="A4" s="1">
        <v>3</v>
      </c>
      <c r="B4" s="1" t="s">
        <v>267</v>
      </c>
    </row>
    <row r="5" spans="1:2" ht="14.25" customHeight="1">
      <c r="A5" s="1">
        <v>4</v>
      </c>
      <c r="B5" s="1" t="s">
        <v>268</v>
      </c>
    </row>
    <row r="6" spans="1:2" ht="14.25" customHeight="1">
      <c r="A6" s="1">
        <v>5</v>
      </c>
      <c r="B6" s="1" t="s">
        <v>269</v>
      </c>
    </row>
    <row r="7" spans="1:2" ht="14.25" customHeight="1">
      <c r="A7" s="1">
        <v>6</v>
      </c>
      <c r="B7" s="1" t="s">
        <v>270</v>
      </c>
    </row>
    <row r="8" spans="1:2" ht="14.25" customHeight="1">
      <c r="A8" s="1">
        <v>7</v>
      </c>
      <c r="B8" s="1" t="s">
        <v>271</v>
      </c>
    </row>
    <row r="9" spans="1:2" ht="14.25" customHeight="1">
      <c r="A9" s="1">
        <v>8</v>
      </c>
      <c r="B9" s="1" t="s">
        <v>272</v>
      </c>
    </row>
    <row r="10" spans="1:2" ht="14.25" customHeight="1">
      <c r="A10" s="1">
        <v>9</v>
      </c>
      <c r="B10" s="1" t="s">
        <v>273</v>
      </c>
    </row>
    <row r="11" spans="1:2" ht="14.25" customHeight="1">
      <c r="A11" s="1">
        <v>10</v>
      </c>
      <c r="B11" s="1" t="s">
        <v>274</v>
      </c>
    </row>
    <row r="12" spans="1:2" ht="14.25" customHeight="1">
      <c r="A12" s="1">
        <v>11</v>
      </c>
      <c r="B12" s="1" t="s">
        <v>275</v>
      </c>
    </row>
    <row r="13" spans="1:2" ht="14.25" customHeight="1">
      <c r="A13" s="1">
        <v>12</v>
      </c>
      <c r="B13" s="1" t="s">
        <v>276</v>
      </c>
    </row>
    <row r="14" spans="1:2" ht="14.25" customHeight="1">
      <c r="A14" s="1">
        <v>13</v>
      </c>
      <c r="B14" s="1" t="s">
        <v>277</v>
      </c>
    </row>
    <row r="15" spans="1:2" ht="14.25" customHeight="1">
      <c r="A15" s="1">
        <v>14</v>
      </c>
      <c r="B15" s="1" t="s">
        <v>278</v>
      </c>
    </row>
    <row r="16" spans="1:2" ht="14.25" customHeight="1">
      <c r="A16" s="1">
        <v>15</v>
      </c>
      <c r="B16" s="1" t="s">
        <v>279</v>
      </c>
    </row>
    <row r="17" spans="1:2" ht="14.25" customHeight="1">
      <c r="A17" s="1">
        <v>16</v>
      </c>
      <c r="B17" s="1" t="s">
        <v>280</v>
      </c>
    </row>
    <row r="18" spans="1:2" ht="14.25" customHeight="1">
      <c r="A18" s="1">
        <v>17</v>
      </c>
      <c r="B18" s="1" t="s">
        <v>281</v>
      </c>
    </row>
    <row r="19" spans="1:2" ht="14.25" customHeight="1">
      <c r="A19" s="1">
        <v>18</v>
      </c>
      <c r="B19" s="1" t="s">
        <v>282</v>
      </c>
    </row>
    <row r="20" spans="1:2" ht="14.25" customHeight="1">
      <c r="A20" s="1">
        <v>19</v>
      </c>
      <c r="B20" s="1" t="s">
        <v>283</v>
      </c>
    </row>
    <row r="21" spans="1:2" ht="14.25" customHeight="1">
      <c r="A21" s="1">
        <v>20</v>
      </c>
      <c r="B21" s="1" t="s">
        <v>284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abSelected="1" workbookViewId="0">
      <selection activeCell="H3" sqref="H3"/>
    </sheetView>
  </sheetViews>
  <sheetFormatPr defaultColWidth="14.42578125" defaultRowHeight="15" customHeight="1"/>
  <cols>
    <col min="1" max="1" width="14.7109375" customWidth="1"/>
    <col min="2" max="2" width="11.85546875" customWidth="1"/>
    <col min="3" max="3" width="11.140625" customWidth="1"/>
    <col min="4" max="4" width="11" customWidth="1"/>
    <col min="5" max="5" width="10.42578125" style="42" customWidth="1"/>
    <col min="6" max="11" width="8.7109375" customWidth="1"/>
    <col min="12" max="12" width="11.85546875" bestFit="1" customWidth="1"/>
    <col min="13" max="13" width="10.42578125" customWidth="1"/>
    <col min="14" max="26" width="8.7109375" customWidth="1"/>
  </cols>
  <sheetData>
    <row r="1" spans="1:16" ht="14.25" customHeight="1">
      <c r="A1" s="9" t="s">
        <v>285</v>
      </c>
      <c r="B1" s="10" t="s">
        <v>2</v>
      </c>
      <c r="C1" s="10" t="s">
        <v>286</v>
      </c>
      <c r="D1" s="10" t="s">
        <v>3</v>
      </c>
      <c r="E1" s="59" t="s">
        <v>4</v>
      </c>
      <c r="F1" s="10" t="s">
        <v>287</v>
      </c>
      <c r="G1" s="10" t="s">
        <v>288</v>
      </c>
      <c r="H1" s="16" t="s">
        <v>289</v>
      </c>
    </row>
    <row r="2" spans="1:16" ht="14.25" customHeight="1">
      <c r="A2" s="4" t="s">
        <v>290</v>
      </c>
      <c r="B2" s="2" t="s">
        <v>291</v>
      </c>
      <c r="C2" s="2" t="s">
        <v>292</v>
      </c>
      <c r="D2" s="55">
        <v>170</v>
      </c>
      <c r="E2" s="40">
        <v>14788</v>
      </c>
      <c r="F2" s="49" t="str">
        <f>IF(E2&gt;=20000,"High","Low")</f>
        <v>Low</v>
      </c>
      <c r="G2" s="49" t="str">
        <f t="shared" ref="G2:H33" si="0">IF(AND(C2="Electronics",D2&gt;100),"Best"," ")</f>
        <v xml:space="preserve"> </v>
      </c>
      <c r="H2" s="50" t="str">
        <f t="shared" ref="H2:H33" si="1">IF(OR(C2="Shoes",C2="Clothing"),"Fashion"," ")</f>
        <v>Fashion</v>
      </c>
      <c r="L2" s="57" t="s">
        <v>13</v>
      </c>
      <c r="M2" s="57" t="s">
        <v>64</v>
      </c>
    </row>
    <row r="3" spans="1:16" ht="14.25" customHeight="1">
      <c r="A3" s="4" t="s">
        <v>293</v>
      </c>
      <c r="B3" s="2" t="s">
        <v>294</v>
      </c>
      <c r="C3" s="2" t="s">
        <v>295</v>
      </c>
      <c r="D3" s="55">
        <v>9</v>
      </c>
      <c r="E3" s="40">
        <v>24150</v>
      </c>
      <c r="F3" s="49" t="str">
        <f>IF(E3&gt;=20000,"High","Low")</f>
        <v>High</v>
      </c>
      <c r="G3" s="49" t="str">
        <f t="shared" si="0"/>
        <v xml:space="preserve"> </v>
      </c>
      <c r="H3" s="49" t="str">
        <f t="shared" si="1"/>
        <v>Fashion</v>
      </c>
      <c r="L3" s="43" t="s">
        <v>291</v>
      </c>
      <c r="M3" s="58">
        <f>AVERAGEIF(Table8[Product],L3,Table8[Quantity])</f>
        <v>149.33333333333334</v>
      </c>
      <c r="P3" t="s">
        <v>3</v>
      </c>
    </row>
    <row r="4" spans="1:16" ht="14.25" customHeight="1">
      <c r="A4" s="4" t="s">
        <v>296</v>
      </c>
      <c r="B4" s="2" t="s">
        <v>297</v>
      </c>
      <c r="C4" s="2" t="s">
        <v>295</v>
      </c>
      <c r="D4" s="55">
        <v>40</v>
      </c>
      <c r="E4" s="40">
        <v>7040</v>
      </c>
      <c r="F4" s="49" t="str">
        <f>IF(E4&gt;=20000,"High","Low")</f>
        <v>Low</v>
      </c>
      <c r="G4" s="49" t="str">
        <f t="shared" si="0"/>
        <v xml:space="preserve"> </v>
      </c>
      <c r="H4" s="49" t="str">
        <f t="shared" si="1"/>
        <v>Fashion</v>
      </c>
      <c r="L4" s="43" t="s">
        <v>294</v>
      </c>
      <c r="M4" s="58">
        <f>AVERAGEIF(Table8[Product],L4,Table8[Quantity])</f>
        <v>103.8</v>
      </c>
      <c r="O4" t="s">
        <v>298</v>
      </c>
      <c r="P4">
        <f>MIN(Table8[Quantity])</f>
        <v>7</v>
      </c>
    </row>
    <row r="5" spans="1:16" ht="14.25" customHeight="1">
      <c r="A5" s="4" t="s">
        <v>299</v>
      </c>
      <c r="B5" s="2" t="s">
        <v>300</v>
      </c>
      <c r="C5" s="2" t="s">
        <v>292</v>
      </c>
      <c r="D5" s="55">
        <v>25</v>
      </c>
      <c r="E5" s="40">
        <v>32732</v>
      </c>
      <c r="F5" s="49" t="str">
        <f>IF(E5&gt;=20000,"High","Low")</f>
        <v>High</v>
      </c>
      <c r="G5" s="49" t="str">
        <f t="shared" si="0"/>
        <v xml:space="preserve"> </v>
      </c>
      <c r="H5" s="49" t="str">
        <f t="shared" si="1"/>
        <v>Fashion</v>
      </c>
      <c r="L5" s="43" t="s">
        <v>297</v>
      </c>
      <c r="M5" s="58">
        <f>AVERAGEIF(Table8[Product],L5,Table8[Quantity])</f>
        <v>123.66666666666667</v>
      </c>
      <c r="O5" t="s">
        <v>301</v>
      </c>
      <c r="P5">
        <f>MAX(Table8[Quantity])</f>
        <v>295</v>
      </c>
    </row>
    <row r="6" spans="1:16" ht="14.25" customHeight="1">
      <c r="A6" s="4" t="s">
        <v>302</v>
      </c>
      <c r="B6" s="2" t="s">
        <v>303</v>
      </c>
      <c r="C6" s="2" t="s">
        <v>304</v>
      </c>
      <c r="D6" s="55">
        <v>261</v>
      </c>
      <c r="E6" s="40">
        <v>16922</v>
      </c>
      <c r="F6" s="49" t="str">
        <f>IF(E6&gt;=20000,"High","Low")</f>
        <v>Low</v>
      </c>
      <c r="G6" s="49" t="str">
        <f t="shared" si="0"/>
        <v xml:space="preserve"> </v>
      </c>
      <c r="H6" s="49" t="str">
        <f t="shared" si="1"/>
        <v xml:space="preserve"> </v>
      </c>
      <c r="L6" s="43" t="s">
        <v>300</v>
      </c>
      <c r="M6" s="58">
        <f>AVERAGEIF(Table8[Product],L6,Table8[Quantity])</f>
        <v>139.25</v>
      </c>
      <c r="O6" t="s">
        <v>305</v>
      </c>
      <c r="P6">
        <f>COUNTIF(Table8[Quantity],"&gt;100")</f>
        <v>62</v>
      </c>
    </row>
    <row r="7" spans="1:16" ht="14.25" customHeight="1">
      <c r="A7" s="4" t="s">
        <v>306</v>
      </c>
      <c r="B7" s="2" t="s">
        <v>303</v>
      </c>
      <c r="C7" s="2" t="s">
        <v>304</v>
      </c>
      <c r="D7" s="55">
        <v>226</v>
      </c>
      <c r="E7" s="40">
        <v>3842</v>
      </c>
      <c r="F7" s="49" t="str">
        <f>IF(E7&gt;=20000,"High","Low")</f>
        <v>Low</v>
      </c>
      <c r="G7" s="49" t="str">
        <f t="shared" si="0"/>
        <v xml:space="preserve"> </v>
      </c>
      <c r="H7" s="49" t="str">
        <f t="shared" si="1"/>
        <v xml:space="preserve"> </v>
      </c>
      <c r="L7" s="43" t="s">
        <v>303</v>
      </c>
      <c r="M7" s="58">
        <f>AVERAGEIF(Table8[Product],L7,Table8[Quantity])</f>
        <v>192.6</v>
      </c>
    </row>
    <row r="8" spans="1:16" ht="14.25" customHeight="1">
      <c r="A8" s="4" t="s">
        <v>307</v>
      </c>
      <c r="B8" s="2" t="s">
        <v>308</v>
      </c>
      <c r="C8" s="2" t="s">
        <v>295</v>
      </c>
      <c r="D8" s="55">
        <v>124</v>
      </c>
      <c r="E8" s="40">
        <v>42346</v>
      </c>
      <c r="F8" s="49" t="str">
        <f>IF(E8&gt;=20000,"High","Low")</f>
        <v>High</v>
      </c>
      <c r="G8" s="49" t="str">
        <f t="shared" si="0"/>
        <v xml:space="preserve"> </v>
      </c>
      <c r="H8" s="49" t="str">
        <f t="shared" si="1"/>
        <v>Fashion</v>
      </c>
      <c r="L8" s="43" t="s">
        <v>308</v>
      </c>
      <c r="M8" s="58">
        <f>AVERAGEIF(Table8[Product],L8,Table8[Quantity])</f>
        <v>169.72727272727272</v>
      </c>
    </row>
    <row r="9" spans="1:16" ht="14.25" customHeight="1">
      <c r="A9" s="4" t="s">
        <v>309</v>
      </c>
      <c r="B9" s="2" t="s">
        <v>308</v>
      </c>
      <c r="C9" s="2" t="s">
        <v>292</v>
      </c>
      <c r="D9" s="55">
        <v>38</v>
      </c>
      <c r="E9" s="40">
        <v>36112</v>
      </c>
      <c r="F9" s="49" t="str">
        <f>IF(E9&gt;=20000,"High","Low")</f>
        <v>High</v>
      </c>
      <c r="G9" s="49" t="str">
        <f t="shared" si="0"/>
        <v xml:space="preserve"> </v>
      </c>
      <c r="H9" s="49" t="str">
        <f t="shared" si="1"/>
        <v>Fashion</v>
      </c>
      <c r="L9" s="43" t="s">
        <v>310</v>
      </c>
      <c r="M9" s="58">
        <f>AVERAGEIF(Table8[Product],L9,Table8[Quantity])</f>
        <v>185.90909090909091</v>
      </c>
    </row>
    <row r="10" spans="1:16" ht="14.25" customHeight="1">
      <c r="A10" s="4" t="s">
        <v>311</v>
      </c>
      <c r="B10" s="2" t="s">
        <v>303</v>
      </c>
      <c r="C10" s="2" t="s">
        <v>292</v>
      </c>
      <c r="D10" s="55">
        <v>251</v>
      </c>
      <c r="E10" s="40">
        <v>10896</v>
      </c>
      <c r="F10" s="49" t="str">
        <f>IF(E10&gt;=20000,"High","Low")</f>
        <v>Low</v>
      </c>
      <c r="G10" s="49" t="str">
        <f t="shared" si="0"/>
        <v xml:space="preserve"> </v>
      </c>
      <c r="H10" s="49" t="str">
        <f t="shared" si="1"/>
        <v>Fashion</v>
      </c>
      <c r="L10" s="43" t="s">
        <v>12</v>
      </c>
      <c r="M10" s="58">
        <f>AVERAGEIF(Table8[Product],L10,Table8[Quantity])</f>
        <v>122</v>
      </c>
    </row>
    <row r="11" spans="1:16" ht="14.25" customHeight="1">
      <c r="A11" s="4" t="s">
        <v>312</v>
      </c>
      <c r="B11" s="2" t="s">
        <v>297</v>
      </c>
      <c r="C11" s="2" t="s">
        <v>313</v>
      </c>
      <c r="D11" s="55">
        <v>176</v>
      </c>
      <c r="E11" s="40">
        <v>17982</v>
      </c>
      <c r="F11" s="49" t="str">
        <f>IF(E11&gt;=20000,"High","Low")</f>
        <v>Low</v>
      </c>
      <c r="G11" s="49" t="str">
        <f t="shared" si="0"/>
        <v xml:space="preserve"> </v>
      </c>
      <c r="H11" s="49" t="str">
        <f t="shared" si="1"/>
        <v xml:space="preserve"> </v>
      </c>
      <c r="L11" s="43" t="s">
        <v>314</v>
      </c>
      <c r="M11" s="58">
        <f>AVERAGEIF(Table8[Product],L11,Table8[Quantity])</f>
        <v>150</v>
      </c>
    </row>
    <row r="12" spans="1:16" ht="14.25" customHeight="1">
      <c r="A12" s="4" t="s">
        <v>315</v>
      </c>
      <c r="B12" s="2" t="s">
        <v>310</v>
      </c>
      <c r="C12" s="2" t="s">
        <v>304</v>
      </c>
      <c r="D12" s="55">
        <v>90</v>
      </c>
      <c r="E12" s="40">
        <v>23911</v>
      </c>
      <c r="F12" s="49" t="str">
        <f>IF(E12&gt;=20000,"High","Low")</f>
        <v>High</v>
      </c>
      <c r="G12" s="49" t="str">
        <f t="shared" si="0"/>
        <v xml:space="preserve"> </v>
      </c>
      <c r="H12" s="49" t="str">
        <f t="shared" si="1"/>
        <v xml:space="preserve"> </v>
      </c>
      <c r="L12" s="43" t="s">
        <v>316</v>
      </c>
      <c r="M12" s="58">
        <f>AVERAGEIF(Table8[Product],L12,Table8[Quantity])</f>
        <v>85.4</v>
      </c>
    </row>
    <row r="13" spans="1:16" ht="14.25" customHeight="1">
      <c r="A13" s="4" t="s">
        <v>317</v>
      </c>
      <c r="B13" s="2" t="s">
        <v>12</v>
      </c>
      <c r="C13" s="2" t="s">
        <v>318</v>
      </c>
      <c r="D13" s="55">
        <v>37</v>
      </c>
      <c r="E13" s="40">
        <v>47266</v>
      </c>
      <c r="F13" s="49" t="str">
        <f>IF(E13&gt;=20000,"High","Low")</f>
        <v>High</v>
      </c>
      <c r="G13" s="49" t="str">
        <f t="shared" si="0"/>
        <v xml:space="preserve"> </v>
      </c>
      <c r="H13" s="49" t="str">
        <f t="shared" si="1"/>
        <v xml:space="preserve"> </v>
      </c>
    </row>
    <row r="14" spans="1:16" ht="14.25" customHeight="1">
      <c r="A14" s="4" t="s">
        <v>319</v>
      </c>
      <c r="B14" s="2" t="s">
        <v>300</v>
      </c>
      <c r="C14" s="2" t="s">
        <v>304</v>
      </c>
      <c r="D14" s="55">
        <v>176</v>
      </c>
      <c r="E14" s="40">
        <v>13761</v>
      </c>
      <c r="F14" s="49" t="str">
        <f>IF(E14&gt;=20000,"High","Low")</f>
        <v>Low</v>
      </c>
      <c r="G14" s="49" t="str">
        <f t="shared" si="0"/>
        <v xml:space="preserve"> </v>
      </c>
      <c r="H14" s="49" t="str">
        <f t="shared" si="1"/>
        <v xml:space="preserve"> </v>
      </c>
    </row>
    <row r="15" spans="1:16" ht="14.25" customHeight="1">
      <c r="A15" s="4" t="s">
        <v>320</v>
      </c>
      <c r="B15" s="2" t="s">
        <v>310</v>
      </c>
      <c r="C15" s="2" t="s">
        <v>304</v>
      </c>
      <c r="D15" s="55">
        <v>284</v>
      </c>
      <c r="E15" s="40">
        <v>3593</v>
      </c>
      <c r="F15" s="49" t="str">
        <f>IF(E15&gt;=20000,"High","Low")</f>
        <v>Low</v>
      </c>
      <c r="G15" s="49" t="str">
        <f t="shared" si="0"/>
        <v xml:space="preserve"> </v>
      </c>
      <c r="H15" s="49" t="str">
        <f t="shared" si="1"/>
        <v xml:space="preserve"> </v>
      </c>
    </row>
    <row r="16" spans="1:16" ht="14.25" customHeight="1">
      <c r="A16" s="4" t="s">
        <v>321</v>
      </c>
      <c r="B16" s="2" t="s">
        <v>291</v>
      </c>
      <c r="C16" s="2" t="s">
        <v>313</v>
      </c>
      <c r="D16" s="55">
        <v>81</v>
      </c>
      <c r="E16" s="40">
        <v>12222</v>
      </c>
      <c r="F16" s="49" t="str">
        <f>IF(E16&gt;=20000,"High","Low")</f>
        <v>Low</v>
      </c>
      <c r="G16" s="49" t="str">
        <f t="shared" si="0"/>
        <v xml:space="preserve"> </v>
      </c>
      <c r="H16" s="49" t="str">
        <f t="shared" si="1"/>
        <v xml:space="preserve"> </v>
      </c>
    </row>
    <row r="17" spans="1:8" ht="14.25" customHeight="1">
      <c r="A17" s="4" t="s">
        <v>322</v>
      </c>
      <c r="B17" s="2" t="s">
        <v>12</v>
      </c>
      <c r="C17" s="2" t="s">
        <v>318</v>
      </c>
      <c r="D17" s="55">
        <v>114</v>
      </c>
      <c r="E17" s="40">
        <v>22542</v>
      </c>
      <c r="F17" s="49" t="str">
        <f>IF(E17&gt;=20000,"High","Low")</f>
        <v>High</v>
      </c>
      <c r="G17" s="49" t="str">
        <f t="shared" si="0"/>
        <v>Best</v>
      </c>
      <c r="H17" s="49" t="str">
        <f t="shared" si="1"/>
        <v xml:space="preserve"> </v>
      </c>
    </row>
    <row r="18" spans="1:8" ht="14.25" customHeight="1">
      <c r="A18" s="4" t="s">
        <v>323</v>
      </c>
      <c r="B18" s="2" t="s">
        <v>12</v>
      </c>
      <c r="C18" s="2" t="s">
        <v>313</v>
      </c>
      <c r="D18" s="55">
        <v>40</v>
      </c>
      <c r="E18" s="40">
        <v>44913</v>
      </c>
      <c r="F18" s="49" t="str">
        <f>IF(E18&gt;=20000,"High","Low")</f>
        <v>High</v>
      </c>
      <c r="G18" s="49" t="str">
        <f t="shared" si="0"/>
        <v xml:space="preserve"> </v>
      </c>
      <c r="H18" s="49" t="str">
        <f t="shared" si="1"/>
        <v xml:space="preserve"> </v>
      </c>
    </row>
    <row r="19" spans="1:8" ht="14.25" customHeight="1">
      <c r="A19" s="4" t="s">
        <v>324</v>
      </c>
      <c r="B19" s="2" t="s">
        <v>294</v>
      </c>
      <c r="C19" s="2" t="s">
        <v>318</v>
      </c>
      <c r="D19" s="55">
        <v>224</v>
      </c>
      <c r="E19" s="40">
        <v>48351</v>
      </c>
      <c r="F19" s="49" t="str">
        <f>IF(E19&gt;=20000,"High","Low")</f>
        <v>High</v>
      </c>
      <c r="G19" s="49" t="str">
        <f t="shared" si="0"/>
        <v>Best</v>
      </c>
      <c r="H19" s="49" t="str">
        <f t="shared" si="1"/>
        <v xml:space="preserve"> </v>
      </c>
    </row>
    <row r="20" spans="1:8" ht="14.25" customHeight="1">
      <c r="A20" s="4" t="s">
        <v>325</v>
      </c>
      <c r="B20" s="2" t="s">
        <v>297</v>
      </c>
      <c r="C20" s="2" t="s">
        <v>295</v>
      </c>
      <c r="D20" s="55">
        <v>115</v>
      </c>
      <c r="E20" s="40">
        <v>28587</v>
      </c>
      <c r="F20" s="49" t="str">
        <f>IF(E20&gt;=20000,"High","Low")</f>
        <v>High</v>
      </c>
      <c r="G20" s="49" t="str">
        <f t="shared" si="0"/>
        <v xml:space="preserve"> </v>
      </c>
      <c r="H20" s="49" t="str">
        <f t="shared" si="1"/>
        <v>Fashion</v>
      </c>
    </row>
    <row r="21" spans="1:8" ht="14.25" customHeight="1">
      <c r="A21" s="4" t="s">
        <v>326</v>
      </c>
      <c r="B21" s="2" t="s">
        <v>297</v>
      </c>
      <c r="C21" s="2" t="s">
        <v>318</v>
      </c>
      <c r="D21" s="55">
        <v>186</v>
      </c>
      <c r="E21" s="40">
        <v>32847</v>
      </c>
      <c r="F21" s="49" t="str">
        <f>IF(E21&gt;=20000,"High","Low")</f>
        <v>High</v>
      </c>
      <c r="G21" s="49" t="str">
        <f t="shared" si="0"/>
        <v>Best</v>
      </c>
      <c r="H21" s="49" t="str">
        <f t="shared" si="1"/>
        <v xml:space="preserve"> </v>
      </c>
    </row>
    <row r="22" spans="1:8" ht="14.25" customHeight="1">
      <c r="A22" s="4" t="s">
        <v>327</v>
      </c>
      <c r="B22" s="2" t="s">
        <v>12</v>
      </c>
      <c r="C22" s="2" t="s">
        <v>313</v>
      </c>
      <c r="D22" s="55">
        <v>56</v>
      </c>
      <c r="E22" s="40">
        <v>34256</v>
      </c>
      <c r="F22" s="49" t="str">
        <f>IF(E22&gt;=20000,"High","Low")</f>
        <v>High</v>
      </c>
      <c r="G22" s="49" t="str">
        <f t="shared" si="0"/>
        <v xml:space="preserve"> </v>
      </c>
      <c r="H22" s="49" t="str">
        <f t="shared" si="1"/>
        <v xml:space="preserve"> </v>
      </c>
    </row>
    <row r="23" spans="1:8" ht="14.25" customHeight="1">
      <c r="A23" s="4" t="s">
        <v>328</v>
      </c>
      <c r="B23" s="2" t="s">
        <v>294</v>
      </c>
      <c r="C23" s="2" t="s">
        <v>304</v>
      </c>
      <c r="D23" s="55">
        <v>40</v>
      </c>
      <c r="E23" s="40">
        <v>39714</v>
      </c>
      <c r="F23" s="49" t="str">
        <f>IF(E23&gt;=20000,"High","Low")</f>
        <v>High</v>
      </c>
      <c r="G23" s="49" t="str">
        <f t="shared" si="0"/>
        <v xml:space="preserve"> </v>
      </c>
      <c r="H23" s="49" t="str">
        <f t="shared" si="1"/>
        <v xml:space="preserve"> </v>
      </c>
    </row>
    <row r="24" spans="1:8" ht="14.25" customHeight="1">
      <c r="A24" s="4" t="s">
        <v>329</v>
      </c>
      <c r="B24" s="2" t="s">
        <v>300</v>
      </c>
      <c r="C24" s="2" t="s">
        <v>318</v>
      </c>
      <c r="D24" s="55">
        <v>40</v>
      </c>
      <c r="E24" s="40">
        <v>16835</v>
      </c>
      <c r="F24" s="49" t="str">
        <f>IF(E24&gt;=20000,"High","Low")</f>
        <v>Low</v>
      </c>
      <c r="G24" s="49" t="str">
        <f t="shared" si="0"/>
        <v xml:space="preserve"> </v>
      </c>
      <c r="H24" s="49" t="str">
        <f t="shared" si="1"/>
        <v xml:space="preserve"> </v>
      </c>
    </row>
    <row r="25" spans="1:8" ht="14.25" customHeight="1">
      <c r="A25" s="4" t="s">
        <v>330</v>
      </c>
      <c r="B25" s="2" t="s">
        <v>12</v>
      </c>
      <c r="C25" s="2" t="s">
        <v>318</v>
      </c>
      <c r="D25" s="55">
        <v>237</v>
      </c>
      <c r="E25" s="40">
        <v>29102</v>
      </c>
      <c r="F25" s="49" t="str">
        <f>IF(E25&gt;=20000,"High","Low")</f>
        <v>High</v>
      </c>
      <c r="G25" s="49" t="str">
        <f t="shared" si="0"/>
        <v>Best</v>
      </c>
      <c r="H25" s="49" t="str">
        <f t="shared" si="1"/>
        <v xml:space="preserve"> </v>
      </c>
    </row>
    <row r="26" spans="1:8" ht="14.25" customHeight="1">
      <c r="A26" s="4" t="s">
        <v>331</v>
      </c>
      <c r="B26" s="2" t="s">
        <v>314</v>
      </c>
      <c r="C26" s="2" t="s">
        <v>292</v>
      </c>
      <c r="D26" s="55">
        <v>289</v>
      </c>
      <c r="E26" s="40">
        <v>49401</v>
      </c>
      <c r="F26" s="49" t="str">
        <f>IF(E26&gt;=20000,"High","Low")</f>
        <v>High</v>
      </c>
      <c r="G26" s="49" t="str">
        <f t="shared" si="0"/>
        <v xml:space="preserve"> </v>
      </c>
      <c r="H26" s="49" t="str">
        <f t="shared" si="1"/>
        <v>Fashion</v>
      </c>
    </row>
    <row r="27" spans="1:8" ht="14.25" customHeight="1">
      <c r="A27" s="4" t="s">
        <v>332</v>
      </c>
      <c r="B27" s="2" t="s">
        <v>308</v>
      </c>
      <c r="C27" s="2" t="s">
        <v>304</v>
      </c>
      <c r="D27" s="55">
        <v>262</v>
      </c>
      <c r="E27" s="40">
        <v>34950</v>
      </c>
      <c r="F27" s="49" t="str">
        <f>IF(E27&gt;=20000,"High","Low")</f>
        <v>High</v>
      </c>
      <c r="G27" s="49" t="str">
        <f t="shared" si="0"/>
        <v xml:space="preserve"> </v>
      </c>
      <c r="H27" s="49" t="str">
        <f t="shared" si="1"/>
        <v xml:space="preserve"> </v>
      </c>
    </row>
    <row r="28" spans="1:8" ht="14.25" customHeight="1">
      <c r="A28" s="4" t="s">
        <v>333</v>
      </c>
      <c r="B28" s="2" t="s">
        <v>308</v>
      </c>
      <c r="C28" s="2" t="s">
        <v>295</v>
      </c>
      <c r="D28" s="55">
        <v>216</v>
      </c>
      <c r="E28" s="40">
        <v>32696</v>
      </c>
      <c r="F28" s="49" t="str">
        <f>IF(E28&gt;=20000,"High","Low")</f>
        <v>High</v>
      </c>
      <c r="G28" s="49" t="str">
        <f t="shared" si="0"/>
        <v xml:space="preserve"> </v>
      </c>
      <c r="H28" s="49" t="str">
        <f t="shared" si="1"/>
        <v>Fashion</v>
      </c>
    </row>
    <row r="29" spans="1:8" ht="14.25" customHeight="1">
      <c r="A29" s="4" t="s">
        <v>334</v>
      </c>
      <c r="B29" s="2" t="s">
        <v>310</v>
      </c>
      <c r="C29" s="2" t="s">
        <v>313</v>
      </c>
      <c r="D29" s="55">
        <v>147</v>
      </c>
      <c r="E29" s="40">
        <v>6126</v>
      </c>
      <c r="F29" s="49" t="str">
        <f>IF(E29&gt;=20000,"High","Low")</f>
        <v>Low</v>
      </c>
      <c r="G29" s="49" t="str">
        <f t="shared" si="0"/>
        <v xml:space="preserve"> </v>
      </c>
      <c r="H29" s="49" t="str">
        <f t="shared" si="1"/>
        <v xml:space="preserve"> </v>
      </c>
    </row>
    <row r="30" spans="1:8" ht="14.25" customHeight="1">
      <c r="A30" s="4" t="s">
        <v>335</v>
      </c>
      <c r="B30" s="2" t="s">
        <v>291</v>
      </c>
      <c r="C30" s="2" t="s">
        <v>295</v>
      </c>
      <c r="D30" s="55">
        <v>168</v>
      </c>
      <c r="E30" s="40">
        <v>7924</v>
      </c>
      <c r="F30" s="49" t="str">
        <f>IF(E30&gt;=20000,"High","Low")</f>
        <v>Low</v>
      </c>
      <c r="G30" s="49" t="str">
        <f t="shared" si="0"/>
        <v xml:space="preserve"> </v>
      </c>
      <c r="H30" s="49" t="str">
        <f t="shared" si="1"/>
        <v>Fashion</v>
      </c>
    </row>
    <row r="31" spans="1:8" ht="14.25" customHeight="1">
      <c r="A31" s="4" t="s">
        <v>336</v>
      </c>
      <c r="B31" s="2" t="s">
        <v>308</v>
      </c>
      <c r="C31" s="2" t="s">
        <v>304</v>
      </c>
      <c r="D31" s="55">
        <v>92</v>
      </c>
      <c r="E31" s="40">
        <v>13357</v>
      </c>
      <c r="F31" s="49" t="str">
        <f>IF(E31&gt;=20000,"High","Low")</f>
        <v>Low</v>
      </c>
      <c r="G31" s="49" t="str">
        <f t="shared" si="0"/>
        <v xml:space="preserve"> </v>
      </c>
      <c r="H31" s="49" t="str">
        <f t="shared" si="1"/>
        <v xml:space="preserve"> </v>
      </c>
    </row>
    <row r="32" spans="1:8" ht="14.25" customHeight="1">
      <c r="A32" s="4" t="s">
        <v>337</v>
      </c>
      <c r="B32" s="2" t="s">
        <v>316</v>
      </c>
      <c r="C32" s="2" t="s">
        <v>318</v>
      </c>
      <c r="D32" s="55">
        <v>59</v>
      </c>
      <c r="E32" s="40">
        <v>45423</v>
      </c>
      <c r="F32" s="49" t="str">
        <f>IF(E32&gt;=20000,"High","Low")</f>
        <v>High</v>
      </c>
      <c r="G32" s="49" t="str">
        <f t="shared" si="0"/>
        <v xml:space="preserve"> </v>
      </c>
      <c r="H32" s="49" t="str">
        <f t="shared" si="1"/>
        <v xml:space="preserve"> </v>
      </c>
    </row>
    <row r="33" spans="1:8" ht="14.25" customHeight="1">
      <c r="A33" s="4" t="s">
        <v>338</v>
      </c>
      <c r="B33" s="2" t="s">
        <v>310</v>
      </c>
      <c r="C33" s="2" t="s">
        <v>318</v>
      </c>
      <c r="D33" s="55">
        <v>59</v>
      </c>
      <c r="E33" s="40">
        <v>20482</v>
      </c>
      <c r="F33" s="49" t="str">
        <f>IF(E33&gt;=20000,"High","Low")</f>
        <v>High</v>
      </c>
      <c r="G33" s="49" t="str">
        <f t="shared" si="0"/>
        <v xml:space="preserve"> </v>
      </c>
      <c r="H33" s="49" t="str">
        <f t="shared" si="1"/>
        <v xml:space="preserve"> </v>
      </c>
    </row>
    <row r="34" spans="1:8" ht="14.25" customHeight="1">
      <c r="A34" s="4" t="s">
        <v>339</v>
      </c>
      <c r="B34" s="2" t="s">
        <v>308</v>
      </c>
      <c r="C34" s="2" t="s">
        <v>304</v>
      </c>
      <c r="D34" s="55">
        <v>169</v>
      </c>
      <c r="E34" s="40">
        <v>11925</v>
      </c>
      <c r="F34" s="49" t="str">
        <f>IF(E34&gt;=20000,"High","Low")</f>
        <v>Low</v>
      </c>
      <c r="G34" s="49" t="str">
        <f t="shared" ref="G34:G65" si="2">IF(AND(C34="Electronics",D34&gt;100),"Best"," ")</f>
        <v xml:space="preserve"> </v>
      </c>
      <c r="H34" s="49" t="str">
        <f t="shared" ref="H34:H65" si="3">IF(OR(C34="Shoes",C34="Clothing"),"Fashion"," ")</f>
        <v xml:space="preserve"> </v>
      </c>
    </row>
    <row r="35" spans="1:8" ht="14.25" customHeight="1">
      <c r="A35" s="4" t="s">
        <v>340</v>
      </c>
      <c r="B35" s="2" t="s">
        <v>291</v>
      </c>
      <c r="C35" s="2" t="s">
        <v>318</v>
      </c>
      <c r="D35" s="55">
        <v>269</v>
      </c>
      <c r="E35" s="40">
        <v>2480</v>
      </c>
      <c r="F35" s="49" t="str">
        <f>IF(E35&gt;=20000,"High","Low")</f>
        <v>Low</v>
      </c>
      <c r="G35" s="49" t="str">
        <f t="shared" si="2"/>
        <v>Best</v>
      </c>
      <c r="H35" s="49" t="str">
        <f t="shared" si="3"/>
        <v xml:space="preserve"> </v>
      </c>
    </row>
    <row r="36" spans="1:8" ht="14.25" customHeight="1">
      <c r="A36" s="4" t="s">
        <v>341</v>
      </c>
      <c r="B36" s="2" t="s">
        <v>297</v>
      </c>
      <c r="C36" s="2" t="s">
        <v>318</v>
      </c>
      <c r="D36" s="55">
        <v>45</v>
      </c>
      <c r="E36" s="40">
        <v>48790</v>
      </c>
      <c r="F36" s="49" t="str">
        <f>IF(E36&gt;=20000,"High","Low")</f>
        <v>High</v>
      </c>
      <c r="G36" s="49" t="str">
        <f t="shared" si="2"/>
        <v xml:space="preserve"> </v>
      </c>
      <c r="H36" s="49" t="str">
        <f t="shared" si="3"/>
        <v xml:space="preserve"> </v>
      </c>
    </row>
    <row r="37" spans="1:8" ht="14.25" customHeight="1">
      <c r="A37" s="4" t="s">
        <v>342</v>
      </c>
      <c r="B37" s="2" t="s">
        <v>297</v>
      </c>
      <c r="C37" s="2" t="s">
        <v>318</v>
      </c>
      <c r="D37" s="55">
        <v>181</v>
      </c>
      <c r="E37" s="40">
        <v>26931</v>
      </c>
      <c r="F37" s="49" t="str">
        <f>IF(E37&gt;=20000,"High","Low")</f>
        <v>High</v>
      </c>
      <c r="G37" s="49" t="str">
        <f t="shared" si="2"/>
        <v>Best</v>
      </c>
      <c r="H37" s="49" t="str">
        <f t="shared" si="3"/>
        <v xml:space="preserve"> </v>
      </c>
    </row>
    <row r="38" spans="1:8" ht="14.25" customHeight="1">
      <c r="A38" s="4" t="s">
        <v>343</v>
      </c>
      <c r="B38" s="2" t="s">
        <v>300</v>
      </c>
      <c r="C38" s="2" t="s">
        <v>313</v>
      </c>
      <c r="D38" s="55">
        <v>170</v>
      </c>
      <c r="E38" s="40">
        <v>19940</v>
      </c>
      <c r="F38" s="49" t="str">
        <f>IF(E38&gt;=20000,"High","Low")</f>
        <v>Low</v>
      </c>
      <c r="G38" s="49" t="str">
        <f t="shared" si="2"/>
        <v xml:space="preserve"> </v>
      </c>
      <c r="H38" s="49" t="str">
        <f t="shared" si="3"/>
        <v xml:space="preserve"> </v>
      </c>
    </row>
    <row r="39" spans="1:8" ht="14.25" customHeight="1">
      <c r="A39" s="4" t="s">
        <v>344</v>
      </c>
      <c r="B39" s="2" t="s">
        <v>12</v>
      </c>
      <c r="C39" s="2" t="s">
        <v>313</v>
      </c>
      <c r="D39" s="55">
        <v>191</v>
      </c>
      <c r="E39" s="40">
        <v>42252</v>
      </c>
      <c r="F39" s="49" t="str">
        <f>IF(E39&gt;=20000,"High","Low")</f>
        <v>High</v>
      </c>
      <c r="G39" s="49" t="str">
        <f t="shared" si="2"/>
        <v xml:space="preserve"> </v>
      </c>
      <c r="H39" s="49" t="str">
        <f t="shared" si="3"/>
        <v xml:space="preserve"> </v>
      </c>
    </row>
    <row r="40" spans="1:8" ht="14.25" customHeight="1">
      <c r="A40" s="4" t="s">
        <v>345</v>
      </c>
      <c r="B40" s="2" t="s">
        <v>314</v>
      </c>
      <c r="C40" s="2" t="s">
        <v>292</v>
      </c>
      <c r="D40" s="55">
        <v>155</v>
      </c>
      <c r="E40" s="40">
        <v>17675</v>
      </c>
      <c r="F40" s="49" t="str">
        <f>IF(E40&gt;=20000,"High","Low")</f>
        <v>Low</v>
      </c>
      <c r="G40" s="49" t="str">
        <f t="shared" si="2"/>
        <v xml:space="preserve"> </v>
      </c>
      <c r="H40" s="49" t="str">
        <f t="shared" si="3"/>
        <v>Fashion</v>
      </c>
    </row>
    <row r="41" spans="1:8" ht="14.25" customHeight="1">
      <c r="A41" s="4" t="s">
        <v>346</v>
      </c>
      <c r="B41" s="2" t="s">
        <v>297</v>
      </c>
      <c r="C41" s="2" t="s">
        <v>295</v>
      </c>
      <c r="D41" s="55">
        <v>188</v>
      </c>
      <c r="E41" s="40">
        <v>49151</v>
      </c>
      <c r="F41" s="49" t="str">
        <f>IF(E41&gt;=20000,"High","Low")</f>
        <v>High</v>
      </c>
      <c r="G41" s="49" t="str">
        <f t="shared" si="2"/>
        <v xml:space="preserve"> </v>
      </c>
      <c r="H41" s="49" t="str">
        <f t="shared" si="3"/>
        <v>Fashion</v>
      </c>
    </row>
    <row r="42" spans="1:8" ht="14.25" customHeight="1">
      <c r="A42" s="4" t="s">
        <v>347</v>
      </c>
      <c r="B42" s="2" t="s">
        <v>294</v>
      </c>
      <c r="C42" s="2" t="s">
        <v>304</v>
      </c>
      <c r="D42" s="55">
        <v>7</v>
      </c>
      <c r="E42" s="40">
        <v>26885</v>
      </c>
      <c r="F42" s="49" t="str">
        <f>IF(E42&gt;=20000,"High","Low")</f>
        <v>High</v>
      </c>
      <c r="G42" s="49" t="str">
        <f t="shared" si="2"/>
        <v xml:space="preserve"> </v>
      </c>
      <c r="H42" s="49" t="str">
        <f t="shared" si="3"/>
        <v xml:space="preserve"> </v>
      </c>
    </row>
    <row r="43" spans="1:8" ht="14.25" customHeight="1">
      <c r="A43" s="4" t="s">
        <v>348</v>
      </c>
      <c r="B43" s="2" t="s">
        <v>308</v>
      </c>
      <c r="C43" s="2" t="s">
        <v>304</v>
      </c>
      <c r="D43" s="55">
        <v>133</v>
      </c>
      <c r="E43" s="40">
        <v>38658</v>
      </c>
      <c r="F43" s="49" t="str">
        <f>IF(E43&gt;=20000,"High","Low")</f>
        <v>High</v>
      </c>
      <c r="G43" s="49" t="str">
        <f t="shared" si="2"/>
        <v xml:space="preserve"> </v>
      </c>
      <c r="H43" s="49" t="str">
        <f t="shared" si="3"/>
        <v xml:space="preserve"> </v>
      </c>
    </row>
    <row r="44" spans="1:8" ht="14.25" customHeight="1">
      <c r="A44" s="4" t="s">
        <v>349</v>
      </c>
      <c r="B44" s="2" t="s">
        <v>294</v>
      </c>
      <c r="C44" s="2" t="s">
        <v>304</v>
      </c>
      <c r="D44" s="55">
        <v>235</v>
      </c>
      <c r="E44" s="40">
        <v>23519</v>
      </c>
      <c r="F44" s="49" t="str">
        <f>IF(E44&gt;=20000,"High","Low")</f>
        <v>High</v>
      </c>
      <c r="G44" s="49" t="str">
        <f t="shared" si="2"/>
        <v xml:space="preserve"> </v>
      </c>
      <c r="H44" s="49" t="str">
        <f t="shared" si="3"/>
        <v xml:space="preserve"> </v>
      </c>
    </row>
    <row r="45" spans="1:8" ht="14.25" customHeight="1">
      <c r="A45" s="4" t="s">
        <v>350</v>
      </c>
      <c r="B45" s="2" t="s">
        <v>291</v>
      </c>
      <c r="C45" s="2" t="s">
        <v>292</v>
      </c>
      <c r="D45" s="55">
        <v>45</v>
      </c>
      <c r="E45" s="40">
        <v>19139</v>
      </c>
      <c r="F45" s="49" t="str">
        <f>IF(E45&gt;=20000,"High","Low")</f>
        <v>Low</v>
      </c>
      <c r="G45" s="49" t="str">
        <f t="shared" si="2"/>
        <v xml:space="preserve"> </v>
      </c>
      <c r="H45" s="49" t="str">
        <f t="shared" si="3"/>
        <v>Fashion</v>
      </c>
    </row>
    <row r="46" spans="1:8" ht="14.25" customHeight="1">
      <c r="A46" s="4" t="s">
        <v>351</v>
      </c>
      <c r="B46" s="2" t="s">
        <v>297</v>
      </c>
      <c r="C46" s="2" t="s">
        <v>313</v>
      </c>
      <c r="D46" s="55">
        <v>249</v>
      </c>
      <c r="E46" s="40">
        <v>20494</v>
      </c>
      <c r="F46" s="49" t="str">
        <f>IF(E46&gt;=20000,"High","Low")</f>
        <v>High</v>
      </c>
      <c r="G46" s="49" t="str">
        <f t="shared" si="2"/>
        <v xml:space="preserve"> </v>
      </c>
      <c r="H46" s="49" t="str">
        <f t="shared" si="3"/>
        <v xml:space="preserve"> </v>
      </c>
    </row>
    <row r="47" spans="1:8" ht="14.25" customHeight="1">
      <c r="A47" s="4" t="s">
        <v>352</v>
      </c>
      <c r="B47" s="2" t="s">
        <v>314</v>
      </c>
      <c r="C47" s="2" t="s">
        <v>292</v>
      </c>
      <c r="D47" s="55">
        <v>31</v>
      </c>
      <c r="E47" s="40">
        <v>34875</v>
      </c>
      <c r="F47" s="49" t="str">
        <f>IF(E47&gt;=20000,"High","Low")</f>
        <v>High</v>
      </c>
      <c r="G47" s="49" t="str">
        <f t="shared" si="2"/>
        <v xml:space="preserve"> </v>
      </c>
      <c r="H47" s="49" t="str">
        <f t="shared" si="3"/>
        <v>Fashion</v>
      </c>
    </row>
    <row r="48" spans="1:8" ht="14.25" customHeight="1">
      <c r="A48" s="4" t="s">
        <v>353</v>
      </c>
      <c r="B48" s="2" t="s">
        <v>291</v>
      </c>
      <c r="C48" s="2" t="s">
        <v>304</v>
      </c>
      <c r="D48" s="55">
        <v>23</v>
      </c>
      <c r="E48" s="40">
        <v>22063</v>
      </c>
      <c r="F48" s="49" t="str">
        <f>IF(E48&gt;=20000,"High","Low")</f>
        <v>High</v>
      </c>
      <c r="G48" s="49" t="str">
        <f t="shared" si="2"/>
        <v xml:space="preserve"> </v>
      </c>
      <c r="H48" s="49" t="str">
        <f t="shared" si="3"/>
        <v xml:space="preserve"> </v>
      </c>
    </row>
    <row r="49" spans="1:8" ht="14.25" customHeight="1">
      <c r="A49" s="4" t="s">
        <v>354</v>
      </c>
      <c r="B49" s="2" t="s">
        <v>316</v>
      </c>
      <c r="C49" s="2" t="s">
        <v>295</v>
      </c>
      <c r="D49" s="55">
        <v>160</v>
      </c>
      <c r="E49" s="40">
        <v>39841</v>
      </c>
      <c r="F49" s="49" t="str">
        <f>IF(E49&gt;=20000,"High","Low")</f>
        <v>High</v>
      </c>
      <c r="G49" s="49" t="str">
        <f t="shared" si="2"/>
        <v xml:space="preserve"> </v>
      </c>
      <c r="H49" s="49" t="str">
        <f t="shared" si="3"/>
        <v>Fashion</v>
      </c>
    </row>
    <row r="50" spans="1:8" ht="14.25" customHeight="1">
      <c r="A50" s="4" t="s">
        <v>355</v>
      </c>
      <c r="B50" s="2" t="s">
        <v>316</v>
      </c>
      <c r="C50" s="2" t="s">
        <v>318</v>
      </c>
      <c r="D50" s="55">
        <v>158</v>
      </c>
      <c r="E50" s="40">
        <v>6276</v>
      </c>
      <c r="F50" s="49" t="str">
        <f>IF(E50&gt;=20000,"High","Low")</f>
        <v>Low</v>
      </c>
      <c r="G50" s="49" t="str">
        <f t="shared" si="2"/>
        <v>Best</v>
      </c>
      <c r="H50" s="49" t="str">
        <f t="shared" si="3"/>
        <v xml:space="preserve"> </v>
      </c>
    </row>
    <row r="51" spans="1:8" ht="14.25" customHeight="1">
      <c r="A51" s="4" t="s">
        <v>356</v>
      </c>
      <c r="B51" s="2" t="s">
        <v>294</v>
      </c>
      <c r="C51" s="2" t="s">
        <v>313</v>
      </c>
      <c r="D51" s="55">
        <v>39</v>
      </c>
      <c r="E51" s="40">
        <v>36944</v>
      </c>
      <c r="F51" s="49" t="str">
        <f>IF(E51&gt;=20000,"High","Low")</f>
        <v>High</v>
      </c>
      <c r="G51" s="49" t="str">
        <f t="shared" si="2"/>
        <v xml:space="preserve"> </v>
      </c>
      <c r="H51" s="49" t="str">
        <f t="shared" si="3"/>
        <v xml:space="preserve"> </v>
      </c>
    </row>
    <row r="52" spans="1:8" ht="14.25" customHeight="1">
      <c r="A52" s="4" t="s">
        <v>357</v>
      </c>
      <c r="B52" s="2" t="s">
        <v>12</v>
      </c>
      <c r="C52" s="2" t="s">
        <v>313</v>
      </c>
      <c r="D52" s="55">
        <v>82</v>
      </c>
      <c r="E52" s="40">
        <v>3880</v>
      </c>
      <c r="F52" s="49" t="str">
        <f>IF(E52&gt;=20000,"High","Low")</f>
        <v>Low</v>
      </c>
      <c r="G52" s="49" t="str">
        <f t="shared" si="2"/>
        <v xml:space="preserve"> </v>
      </c>
      <c r="H52" s="49" t="str">
        <f t="shared" si="3"/>
        <v xml:space="preserve"> </v>
      </c>
    </row>
    <row r="53" spans="1:8" ht="14.25" customHeight="1">
      <c r="A53" s="4" t="s">
        <v>358</v>
      </c>
      <c r="B53" s="2" t="s">
        <v>310</v>
      </c>
      <c r="C53" s="2" t="s">
        <v>292</v>
      </c>
      <c r="D53" s="55">
        <v>258</v>
      </c>
      <c r="E53" s="40">
        <v>9211</v>
      </c>
      <c r="F53" s="49" t="str">
        <f>IF(E53&gt;=20000,"High","Low")</f>
        <v>Low</v>
      </c>
      <c r="G53" s="49" t="str">
        <f t="shared" si="2"/>
        <v xml:space="preserve"> </v>
      </c>
      <c r="H53" s="49" t="str">
        <f t="shared" si="3"/>
        <v>Fashion</v>
      </c>
    </row>
    <row r="54" spans="1:8" ht="14.25" customHeight="1">
      <c r="A54" s="4" t="s">
        <v>359</v>
      </c>
      <c r="B54" s="2" t="s">
        <v>12</v>
      </c>
      <c r="C54" s="2" t="s">
        <v>313</v>
      </c>
      <c r="D54" s="55">
        <v>206</v>
      </c>
      <c r="E54" s="40">
        <v>9282</v>
      </c>
      <c r="F54" s="49" t="str">
        <f>IF(E54&gt;=20000,"High","Low")</f>
        <v>Low</v>
      </c>
      <c r="G54" s="49" t="str">
        <f t="shared" si="2"/>
        <v xml:space="preserve"> </v>
      </c>
      <c r="H54" s="49" t="str">
        <f t="shared" si="3"/>
        <v xml:space="preserve"> </v>
      </c>
    </row>
    <row r="55" spans="1:8" ht="14.25" customHeight="1">
      <c r="A55" s="4" t="s">
        <v>360</v>
      </c>
      <c r="B55" s="2" t="s">
        <v>300</v>
      </c>
      <c r="C55" s="2" t="s">
        <v>304</v>
      </c>
      <c r="D55" s="55">
        <v>77</v>
      </c>
      <c r="E55" s="40">
        <v>17934</v>
      </c>
      <c r="F55" s="49" t="str">
        <f>IF(E55&gt;=20000,"High","Low")</f>
        <v>Low</v>
      </c>
      <c r="G55" s="49" t="str">
        <f t="shared" si="2"/>
        <v xml:space="preserve"> </v>
      </c>
      <c r="H55" s="49" t="str">
        <f t="shared" si="3"/>
        <v xml:space="preserve"> </v>
      </c>
    </row>
    <row r="56" spans="1:8" ht="14.25" customHeight="1">
      <c r="A56" s="4" t="s">
        <v>361</v>
      </c>
      <c r="B56" s="2" t="s">
        <v>12</v>
      </c>
      <c r="C56" s="2" t="s">
        <v>304</v>
      </c>
      <c r="D56" s="55">
        <v>12</v>
      </c>
      <c r="E56" s="40">
        <v>47265</v>
      </c>
      <c r="F56" s="49" t="str">
        <f>IF(E56&gt;=20000,"High","Low")</f>
        <v>High</v>
      </c>
      <c r="G56" s="49" t="str">
        <f t="shared" si="2"/>
        <v xml:space="preserve"> </v>
      </c>
      <c r="H56" s="49" t="str">
        <f t="shared" si="3"/>
        <v xml:space="preserve"> </v>
      </c>
    </row>
    <row r="57" spans="1:8" ht="14.25" customHeight="1">
      <c r="A57" s="4" t="s">
        <v>362</v>
      </c>
      <c r="B57" s="2" t="s">
        <v>300</v>
      </c>
      <c r="C57" s="2" t="s">
        <v>292</v>
      </c>
      <c r="D57" s="55">
        <v>295</v>
      </c>
      <c r="E57" s="40">
        <v>20517</v>
      </c>
      <c r="F57" s="49" t="str">
        <f>IF(E57&gt;=20000,"High","Low")</f>
        <v>High</v>
      </c>
      <c r="G57" s="49" t="str">
        <f t="shared" si="2"/>
        <v xml:space="preserve"> </v>
      </c>
      <c r="H57" s="49" t="str">
        <f t="shared" si="3"/>
        <v>Fashion</v>
      </c>
    </row>
    <row r="58" spans="1:8" ht="14.25" customHeight="1">
      <c r="A58" s="4" t="s">
        <v>363</v>
      </c>
      <c r="B58" s="2" t="s">
        <v>300</v>
      </c>
      <c r="C58" s="2" t="s">
        <v>304</v>
      </c>
      <c r="D58" s="55">
        <v>224</v>
      </c>
      <c r="E58" s="40">
        <v>31207</v>
      </c>
      <c r="F58" s="49" t="str">
        <f>IF(E58&gt;=20000,"High","Low")</f>
        <v>High</v>
      </c>
      <c r="G58" s="49" t="str">
        <f t="shared" si="2"/>
        <v xml:space="preserve"> </v>
      </c>
      <c r="H58" s="49" t="str">
        <f t="shared" si="3"/>
        <v xml:space="preserve"> </v>
      </c>
    </row>
    <row r="59" spans="1:8" ht="14.25" customHeight="1">
      <c r="A59" s="4" t="s">
        <v>364</v>
      </c>
      <c r="B59" s="2" t="s">
        <v>314</v>
      </c>
      <c r="C59" s="2" t="s">
        <v>295</v>
      </c>
      <c r="D59" s="55">
        <v>13</v>
      </c>
      <c r="E59" s="40">
        <v>39610</v>
      </c>
      <c r="F59" s="49" t="str">
        <f>IF(E59&gt;=20000,"High","Low")</f>
        <v>High</v>
      </c>
      <c r="G59" s="49" t="str">
        <f t="shared" si="2"/>
        <v xml:space="preserve"> </v>
      </c>
      <c r="H59" s="49" t="str">
        <f t="shared" si="3"/>
        <v>Fashion</v>
      </c>
    </row>
    <row r="60" spans="1:8" ht="14.25" customHeight="1">
      <c r="A60" s="4" t="s">
        <v>365</v>
      </c>
      <c r="B60" s="2" t="s">
        <v>297</v>
      </c>
      <c r="C60" s="2" t="s">
        <v>292</v>
      </c>
      <c r="D60" s="55">
        <v>46</v>
      </c>
      <c r="E60" s="40">
        <v>17843</v>
      </c>
      <c r="F60" s="49" t="str">
        <f>IF(E60&gt;=20000,"High","Low")</f>
        <v>Low</v>
      </c>
      <c r="G60" s="49" t="str">
        <f t="shared" si="2"/>
        <v xml:space="preserve"> </v>
      </c>
      <c r="H60" s="49" t="str">
        <f t="shared" si="3"/>
        <v>Fashion</v>
      </c>
    </row>
    <row r="61" spans="1:8" ht="14.25" customHeight="1">
      <c r="A61" s="4" t="s">
        <v>366</v>
      </c>
      <c r="B61" s="2" t="s">
        <v>314</v>
      </c>
      <c r="C61" s="2" t="s">
        <v>295</v>
      </c>
      <c r="D61" s="55">
        <v>155</v>
      </c>
      <c r="E61" s="40">
        <v>39327</v>
      </c>
      <c r="F61" s="49" t="str">
        <f>IF(E61&gt;=20000,"High","Low")</f>
        <v>High</v>
      </c>
      <c r="G61" s="49" t="str">
        <f t="shared" si="2"/>
        <v xml:space="preserve"> </v>
      </c>
      <c r="H61" s="49" t="str">
        <f t="shared" si="3"/>
        <v>Fashion</v>
      </c>
    </row>
    <row r="62" spans="1:8" ht="14.25" customHeight="1">
      <c r="A62" s="4" t="s">
        <v>367</v>
      </c>
      <c r="B62" s="2" t="s">
        <v>300</v>
      </c>
      <c r="C62" s="2" t="s">
        <v>318</v>
      </c>
      <c r="D62" s="55">
        <v>113</v>
      </c>
      <c r="E62" s="40">
        <v>42152</v>
      </c>
      <c r="F62" s="49" t="str">
        <f>IF(E62&gt;=20000,"High","Low")</f>
        <v>High</v>
      </c>
      <c r="G62" s="49" t="str">
        <f t="shared" si="2"/>
        <v>Best</v>
      </c>
      <c r="H62" s="49" t="str">
        <f t="shared" si="3"/>
        <v xml:space="preserve"> </v>
      </c>
    </row>
    <row r="63" spans="1:8" ht="14.25" customHeight="1">
      <c r="A63" s="4" t="s">
        <v>368</v>
      </c>
      <c r="B63" s="2" t="s">
        <v>291</v>
      </c>
      <c r="C63" s="2" t="s">
        <v>295</v>
      </c>
      <c r="D63" s="55">
        <v>233</v>
      </c>
      <c r="E63" s="40">
        <v>6155</v>
      </c>
      <c r="F63" s="49" t="str">
        <f>IF(E63&gt;=20000,"High","Low")</f>
        <v>Low</v>
      </c>
      <c r="G63" s="49" t="str">
        <f t="shared" si="2"/>
        <v xml:space="preserve"> </v>
      </c>
      <c r="H63" s="49" t="str">
        <f t="shared" si="3"/>
        <v>Fashion</v>
      </c>
    </row>
    <row r="64" spans="1:8" ht="14.25" customHeight="1">
      <c r="A64" s="4" t="s">
        <v>369</v>
      </c>
      <c r="B64" s="2" t="s">
        <v>316</v>
      </c>
      <c r="C64" s="2" t="s">
        <v>318</v>
      </c>
      <c r="D64" s="55">
        <v>17</v>
      </c>
      <c r="E64" s="40">
        <v>45359</v>
      </c>
      <c r="F64" s="49" t="str">
        <f>IF(E64&gt;=20000,"High","Low")</f>
        <v>High</v>
      </c>
      <c r="G64" s="49" t="str">
        <f t="shared" si="2"/>
        <v xml:space="preserve"> </v>
      </c>
      <c r="H64" s="49" t="str">
        <f t="shared" si="3"/>
        <v xml:space="preserve"> </v>
      </c>
    </row>
    <row r="65" spans="1:8" ht="14.25" customHeight="1">
      <c r="A65" s="4" t="s">
        <v>370</v>
      </c>
      <c r="B65" s="2" t="s">
        <v>300</v>
      </c>
      <c r="C65" s="2" t="s">
        <v>318</v>
      </c>
      <c r="D65" s="55">
        <v>223</v>
      </c>
      <c r="E65" s="40">
        <v>15751</v>
      </c>
      <c r="F65" s="49" t="str">
        <f>IF(E65&gt;=20000,"High","Low")</f>
        <v>Low</v>
      </c>
      <c r="G65" s="49" t="str">
        <f t="shared" si="2"/>
        <v>Best</v>
      </c>
      <c r="H65" s="49" t="str">
        <f t="shared" si="3"/>
        <v xml:space="preserve"> </v>
      </c>
    </row>
    <row r="66" spans="1:8" ht="14.25" customHeight="1">
      <c r="A66" s="4" t="s">
        <v>371</v>
      </c>
      <c r="B66" s="2" t="s">
        <v>314</v>
      </c>
      <c r="C66" s="2" t="s">
        <v>295</v>
      </c>
      <c r="D66" s="55">
        <v>188</v>
      </c>
      <c r="E66" s="40">
        <v>1026</v>
      </c>
      <c r="F66" s="49" t="str">
        <f>IF(E66&gt;=20000,"High","Low")</f>
        <v>Low</v>
      </c>
      <c r="G66" s="49" t="str">
        <f t="shared" ref="G66:G101" si="4">IF(AND(C66="Electronics",D66&gt;100),"Best"," ")</f>
        <v xml:space="preserve"> </v>
      </c>
      <c r="H66" s="49" t="str">
        <f t="shared" ref="H66:H101" si="5">IF(OR(C66="Shoes",C66="Clothing"),"Fashion"," ")</f>
        <v>Fashion</v>
      </c>
    </row>
    <row r="67" spans="1:8" ht="14.25" customHeight="1">
      <c r="A67" s="4" t="s">
        <v>372</v>
      </c>
      <c r="B67" s="2" t="s">
        <v>291</v>
      </c>
      <c r="C67" s="2" t="s">
        <v>292</v>
      </c>
      <c r="D67" s="55">
        <v>163</v>
      </c>
      <c r="E67" s="40">
        <v>3724</v>
      </c>
      <c r="F67" s="49" t="str">
        <f>IF(E67&gt;=20000,"High","Low")</f>
        <v>Low</v>
      </c>
      <c r="G67" s="49" t="str">
        <f t="shared" si="4"/>
        <v xml:space="preserve"> </v>
      </c>
      <c r="H67" s="49" t="str">
        <f t="shared" si="5"/>
        <v>Fashion</v>
      </c>
    </row>
    <row r="68" spans="1:8" ht="14.25" customHeight="1">
      <c r="A68" s="4" t="s">
        <v>373</v>
      </c>
      <c r="B68" s="2" t="s">
        <v>314</v>
      </c>
      <c r="C68" s="2" t="s">
        <v>304</v>
      </c>
      <c r="D68" s="55">
        <v>74</v>
      </c>
      <c r="E68" s="40">
        <v>48337</v>
      </c>
      <c r="F68" s="49" t="str">
        <f>IF(E68&gt;=20000,"High","Low")</f>
        <v>High</v>
      </c>
      <c r="G68" s="49" t="str">
        <f t="shared" si="4"/>
        <v xml:space="preserve"> </v>
      </c>
      <c r="H68" s="49" t="str">
        <f t="shared" si="5"/>
        <v xml:space="preserve"> </v>
      </c>
    </row>
    <row r="69" spans="1:8" ht="14.25" customHeight="1">
      <c r="A69" s="4" t="s">
        <v>374</v>
      </c>
      <c r="B69" s="2" t="s">
        <v>12</v>
      </c>
      <c r="C69" s="2" t="s">
        <v>304</v>
      </c>
      <c r="D69" s="55">
        <v>233</v>
      </c>
      <c r="E69" s="40">
        <v>12036</v>
      </c>
      <c r="F69" s="49" t="str">
        <f>IF(E69&gt;=20000,"High","Low")</f>
        <v>Low</v>
      </c>
      <c r="G69" s="49" t="str">
        <f t="shared" si="4"/>
        <v xml:space="preserve"> </v>
      </c>
      <c r="H69" s="49" t="str">
        <f t="shared" si="5"/>
        <v xml:space="preserve"> </v>
      </c>
    </row>
    <row r="70" spans="1:8" ht="14.25" customHeight="1">
      <c r="A70" s="4" t="s">
        <v>375</v>
      </c>
      <c r="B70" s="2" t="s">
        <v>308</v>
      </c>
      <c r="C70" s="2" t="s">
        <v>318</v>
      </c>
      <c r="D70" s="55">
        <v>224</v>
      </c>
      <c r="E70" s="40">
        <v>29041</v>
      </c>
      <c r="F70" s="49" t="str">
        <f>IF(E70&gt;=20000,"High","Low")</f>
        <v>High</v>
      </c>
      <c r="G70" s="49" t="str">
        <f t="shared" si="4"/>
        <v>Best</v>
      </c>
      <c r="H70" s="49" t="str">
        <f t="shared" si="5"/>
        <v xml:space="preserve"> </v>
      </c>
    </row>
    <row r="71" spans="1:8" ht="14.25" customHeight="1">
      <c r="A71" s="4" t="s">
        <v>376</v>
      </c>
      <c r="B71" s="2" t="s">
        <v>294</v>
      </c>
      <c r="C71" s="2" t="s">
        <v>318</v>
      </c>
      <c r="D71" s="55">
        <v>60</v>
      </c>
      <c r="E71" s="40">
        <v>14047</v>
      </c>
      <c r="F71" s="49" t="str">
        <f>IF(E71&gt;=20000,"High","Low")</f>
        <v>Low</v>
      </c>
      <c r="G71" s="49" t="str">
        <f t="shared" si="4"/>
        <v xml:space="preserve"> </v>
      </c>
      <c r="H71" s="49" t="str">
        <f t="shared" si="5"/>
        <v xml:space="preserve"> </v>
      </c>
    </row>
    <row r="72" spans="1:8" ht="14.25" customHeight="1">
      <c r="A72" s="4" t="s">
        <v>377</v>
      </c>
      <c r="B72" s="2" t="s">
        <v>310</v>
      </c>
      <c r="C72" s="2" t="s">
        <v>292</v>
      </c>
      <c r="D72" s="55">
        <v>222</v>
      </c>
      <c r="E72" s="40">
        <v>35031</v>
      </c>
      <c r="F72" s="49" t="str">
        <f>IF(E72&gt;=20000,"High","Low")</f>
        <v>High</v>
      </c>
      <c r="G72" s="49" t="str">
        <f t="shared" si="4"/>
        <v xml:space="preserve"> </v>
      </c>
      <c r="H72" s="49" t="str">
        <f t="shared" si="5"/>
        <v>Fashion</v>
      </c>
    </row>
    <row r="73" spans="1:8" ht="14.25" customHeight="1">
      <c r="A73" s="4" t="s">
        <v>378</v>
      </c>
      <c r="B73" s="2" t="s">
        <v>314</v>
      </c>
      <c r="C73" s="2" t="s">
        <v>313</v>
      </c>
      <c r="D73" s="55">
        <v>37</v>
      </c>
      <c r="E73" s="40">
        <v>9212</v>
      </c>
      <c r="F73" s="49" t="str">
        <f>IF(E73&gt;=20000,"High","Low")</f>
        <v>Low</v>
      </c>
      <c r="G73" s="49" t="str">
        <f t="shared" si="4"/>
        <v xml:space="preserve"> </v>
      </c>
      <c r="H73" s="49" t="str">
        <f t="shared" si="5"/>
        <v xml:space="preserve"> </v>
      </c>
    </row>
    <row r="74" spans="1:8" ht="14.25" customHeight="1">
      <c r="A74" s="4" t="s">
        <v>379</v>
      </c>
      <c r="B74" s="2" t="s">
        <v>310</v>
      </c>
      <c r="C74" s="2" t="s">
        <v>295</v>
      </c>
      <c r="D74" s="55">
        <v>278</v>
      </c>
      <c r="E74" s="40">
        <v>39065</v>
      </c>
      <c r="F74" s="49" t="str">
        <f>IF(E74&gt;=20000,"High","Low")</f>
        <v>High</v>
      </c>
      <c r="G74" s="49" t="str">
        <f t="shared" si="4"/>
        <v xml:space="preserve"> </v>
      </c>
      <c r="H74" s="49" t="str">
        <f t="shared" si="5"/>
        <v>Fashion</v>
      </c>
    </row>
    <row r="75" spans="1:8" ht="14.25" customHeight="1">
      <c r="A75" s="4" t="s">
        <v>380</v>
      </c>
      <c r="B75" s="2" t="s">
        <v>303</v>
      </c>
      <c r="C75" s="2" t="s">
        <v>318</v>
      </c>
      <c r="D75" s="55">
        <v>196</v>
      </c>
      <c r="E75" s="40">
        <v>9708</v>
      </c>
      <c r="F75" s="49" t="str">
        <f>IF(E75&gt;=20000,"High","Low")</f>
        <v>Low</v>
      </c>
      <c r="G75" s="49" t="str">
        <f t="shared" si="4"/>
        <v>Best</v>
      </c>
      <c r="H75" s="49" t="str">
        <f t="shared" si="5"/>
        <v xml:space="preserve"> </v>
      </c>
    </row>
    <row r="76" spans="1:8" ht="14.25" customHeight="1">
      <c r="A76" s="4" t="s">
        <v>381</v>
      </c>
      <c r="B76" s="2" t="s">
        <v>314</v>
      </c>
      <c r="C76" s="2" t="s">
        <v>304</v>
      </c>
      <c r="D76" s="55">
        <v>242</v>
      </c>
      <c r="E76" s="40">
        <v>5609</v>
      </c>
      <c r="F76" s="49" t="str">
        <f>IF(E76&gt;=20000,"High","Low")</f>
        <v>Low</v>
      </c>
      <c r="G76" s="49" t="str">
        <f t="shared" si="4"/>
        <v xml:space="preserve"> </v>
      </c>
      <c r="H76" s="49" t="str">
        <f t="shared" si="5"/>
        <v xml:space="preserve"> </v>
      </c>
    </row>
    <row r="77" spans="1:8" ht="14.25" customHeight="1">
      <c r="A77" s="4" t="s">
        <v>382</v>
      </c>
      <c r="B77" s="2" t="s">
        <v>308</v>
      </c>
      <c r="C77" s="2" t="s">
        <v>292</v>
      </c>
      <c r="D77" s="55">
        <v>219</v>
      </c>
      <c r="E77" s="40">
        <v>49768</v>
      </c>
      <c r="F77" s="50" t="str">
        <f>IF(E77&gt;=20000,"High","Low")</f>
        <v>High</v>
      </c>
      <c r="G77" s="49" t="str">
        <f t="shared" si="4"/>
        <v xml:space="preserve"> </v>
      </c>
      <c r="H77" s="49" t="str">
        <f t="shared" si="5"/>
        <v>Fashion</v>
      </c>
    </row>
    <row r="78" spans="1:8" ht="14.25" customHeight="1">
      <c r="A78" s="4" t="s">
        <v>383</v>
      </c>
      <c r="B78" s="2" t="s">
        <v>310</v>
      </c>
      <c r="C78" s="2" t="s">
        <v>295</v>
      </c>
      <c r="D78" s="55">
        <v>192</v>
      </c>
      <c r="E78" s="40">
        <v>35701</v>
      </c>
      <c r="F78" s="49" t="str">
        <f>IF(E78&gt;=20000,"High","Low")</f>
        <v>High</v>
      </c>
      <c r="G78" s="49" t="str">
        <f t="shared" si="4"/>
        <v xml:space="preserve"> </v>
      </c>
      <c r="H78" s="49" t="str">
        <f t="shared" si="5"/>
        <v>Fashion</v>
      </c>
    </row>
    <row r="79" spans="1:8" ht="14.25" customHeight="1">
      <c r="A79" s="4" t="s">
        <v>384</v>
      </c>
      <c r="B79" s="2" t="s">
        <v>300</v>
      </c>
      <c r="C79" s="2" t="s">
        <v>292</v>
      </c>
      <c r="D79" s="55">
        <v>17</v>
      </c>
      <c r="E79" s="40">
        <v>17467</v>
      </c>
      <c r="F79" s="49" t="str">
        <f>IF(E79&gt;=20000,"High","Low")</f>
        <v>Low</v>
      </c>
      <c r="G79" s="49" t="str">
        <f t="shared" si="4"/>
        <v xml:space="preserve"> </v>
      </c>
      <c r="H79" s="49" t="str">
        <f t="shared" si="5"/>
        <v>Fashion</v>
      </c>
    </row>
    <row r="80" spans="1:8" ht="14.25" customHeight="1">
      <c r="A80" s="4" t="s">
        <v>385</v>
      </c>
      <c r="B80" s="2" t="s">
        <v>314</v>
      </c>
      <c r="C80" s="2" t="s">
        <v>295</v>
      </c>
      <c r="D80" s="55">
        <v>12</v>
      </c>
      <c r="E80" s="40">
        <v>30259</v>
      </c>
      <c r="F80" s="49" t="str">
        <f>IF(E80&gt;=20000,"High","Low")</f>
        <v>High</v>
      </c>
      <c r="G80" s="49" t="str">
        <f t="shared" si="4"/>
        <v xml:space="preserve"> </v>
      </c>
      <c r="H80" s="49" t="str">
        <f t="shared" si="5"/>
        <v>Fashion</v>
      </c>
    </row>
    <row r="81" spans="1:8" ht="14.25" customHeight="1">
      <c r="A81" s="4" t="s">
        <v>386</v>
      </c>
      <c r="B81" s="2" t="s">
        <v>297</v>
      </c>
      <c r="C81" s="2" t="s">
        <v>295</v>
      </c>
      <c r="D81" s="55">
        <v>193</v>
      </c>
      <c r="E81" s="40">
        <v>20672</v>
      </c>
      <c r="F81" s="49" t="str">
        <f>IF(E81&gt;=20000,"High","Low")</f>
        <v>High</v>
      </c>
      <c r="G81" s="49" t="str">
        <f t="shared" si="4"/>
        <v xml:space="preserve"> </v>
      </c>
      <c r="H81" s="49" t="str">
        <f t="shared" si="5"/>
        <v>Fashion</v>
      </c>
    </row>
    <row r="82" spans="1:8" ht="14.25" customHeight="1">
      <c r="A82" s="4" t="s">
        <v>387</v>
      </c>
      <c r="B82" s="2" t="s">
        <v>294</v>
      </c>
      <c r="C82" s="2" t="s">
        <v>318</v>
      </c>
      <c r="D82" s="55">
        <v>22</v>
      </c>
      <c r="E82" s="40">
        <v>37435</v>
      </c>
      <c r="F82" s="49" t="str">
        <f>IF(E82&gt;=20000,"High","Low")</f>
        <v>High</v>
      </c>
      <c r="G82" s="49" t="str">
        <f t="shared" si="4"/>
        <v xml:space="preserve"> </v>
      </c>
      <c r="H82" s="49" t="str">
        <f t="shared" si="5"/>
        <v xml:space="preserve"> </v>
      </c>
    </row>
    <row r="83" spans="1:8" ht="14.25" customHeight="1">
      <c r="A83" s="4" t="s">
        <v>388</v>
      </c>
      <c r="B83" s="2" t="s">
        <v>308</v>
      </c>
      <c r="C83" s="2" t="s">
        <v>292</v>
      </c>
      <c r="D83" s="55">
        <v>120</v>
      </c>
      <c r="E83" s="40">
        <v>27089</v>
      </c>
      <c r="F83" s="49" t="str">
        <f>IF(E83&gt;=20000,"High","Low")</f>
        <v>High</v>
      </c>
      <c r="G83" s="49" t="str">
        <f t="shared" si="4"/>
        <v xml:space="preserve"> </v>
      </c>
      <c r="H83" s="49" t="str">
        <f t="shared" si="5"/>
        <v>Fashion</v>
      </c>
    </row>
    <row r="84" spans="1:8" ht="14.25" customHeight="1">
      <c r="A84" s="4" t="s">
        <v>389</v>
      </c>
      <c r="B84" s="2" t="s">
        <v>310</v>
      </c>
      <c r="C84" s="2" t="s">
        <v>292</v>
      </c>
      <c r="D84" s="55">
        <v>210</v>
      </c>
      <c r="E84" s="40">
        <v>30515</v>
      </c>
      <c r="F84" s="49" t="str">
        <f>IF(E84&gt;=20000,"High","Low")</f>
        <v>High</v>
      </c>
      <c r="G84" s="49" t="str">
        <f t="shared" si="4"/>
        <v xml:space="preserve"> </v>
      </c>
      <c r="H84" s="49" t="str">
        <f t="shared" si="5"/>
        <v>Fashion</v>
      </c>
    </row>
    <row r="85" spans="1:8" ht="14.25" customHeight="1">
      <c r="A85" s="4" t="s">
        <v>390</v>
      </c>
      <c r="B85" s="2" t="s">
        <v>308</v>
      </c>
      <c r="C85" s="2" t="s">
        <v>304</v>
      </c>
      <c r="D85" s="55">
        <v>270</v>
      </c>
      <c r="E85" s="40">
        <v>29509</v>
      </c>
      <c r="F85" s="49" t="str">
        <f>IF(E85&gt;=20000,"High","Low")</f>
        <v>High</v>
      </c>
      <c r="G85" s="49" t="str">
        <f t="shared" si="4"/>
        <v xml:space="preserve"> </v>
      </c>
      <c r="H85" s="49" t="str">
        <f t="shared" si="5"/>
        <v xml:space="preserve"> </v>
      </c>
    </row>
    <row r="86" spans="1:8" ht="14.25" customHeight="1">
      <c r="A86" s="4" t="s">
        <v>391</v>
      </c>
      <c r="B86" s="2" t="s">
        <v>291</v>
      </c>
      <c r="C86" s="2" t="s">
        <v>304</v>
      </c>
      <c r="D86" s="55">
        <v>192</v>
      </c>
      <c r="E86" s="40">
        <v>18273</v>
      </c>
      <c r="F86" s="49" t="str">
        <f>IF(E86&gt;=20000,"High","Low")</f>
        <v>Low</v>
      </c>
      <c r="G86" s="49" t="str">
        <f t="shared" si="4"/>
        <v xml:space="preserve"> </v>
      </c>
      <c r="H86" s="49" t="str">
        <f t="shared" si="5"/>
        <v xml:space="preserve"> </v>
      </c>
    </row>
    <row r="87" spans="1:8" ht="14.25" customHeight="1">
      <c r="A87" s="4" t="s">
        <v>392</v>
      </c>
      <c r="B87" s="2" t="s">
        <v>294</v>
      </c>
      <c r="C87" s="2" t="s">
        <v>318</v>
      </c>
      <c r="D87" s="55">
        <v>175</v>
      </c>
      <c r="E87" s="40">
        <v>41625</v>
      </c>
      <c r="F87" s="49" t="str">
        <f>IF(E87&gt;=20000,"High","Low")</f>
        <v>High</v>
      </c>
      <c r="G87" s="49" t="str">
        <f t="shared" si="4"/>
        <v>Best</v>
      </c>
      <c r="H87" s="49" t="str">
        <f t="shared" si="5"/>
        <v xml:space="preserve"> </v>
      </c>
    </row>
    <row r="88" spans="1:8" ht="14.25" customHeight="1">
      <c r="A88" s="4" t="s">
        <v>393</v>
      </c>
      <c r="B88" s="2" t="s">
        <v>300</v>
      </c>
      <c r="C88" s="2" t="s">
        <v>318</v>
      </c>
      <c r="D88" s="55">
        <v>285</v>
      </c>
      <c r="E88" s="40">
        <v>26643</v>
      </c>
      <c r="F88" s="49" t="str">
        <f>IF(E88&gt;=20000,"High","Low")</f>
        <v>High</v>
      </c>
      <c r="G88" s="49" t="str">
        <f t="shared" si="4"/>
        <v>Best</v>
      </c>
      <c r="H88" s="49" t="str">
        <f t="shared" si="5"/>
        <v xml:space="preserve"> </v>
      </c>
    </row>
    <row r="89" spans="1:8" ht="14.25" customHeight="1">
      <c r="A89" s="4" t="s">
        <v>394</v>
      </c>
      <c r="B89" s="2" t="s">
        <v>314</v>
      </c>
      <c r="C89" s="2" t="s">
        <v>313</v>
      </c>
      <c r="D89" s="55">
        <v>204</v>
      </c>
      <c r="E89" s="40">
        <v>6654</v>
      </c>
      <c r="F89" s="49" t="str">
        <f>IF(E89&gt;=20000,"High","Low")</f>
        <v>Low</v>
      </c>
      <c r="G89" s="49" t="str">
        <f t="shared" si="4"/>
        <v xml:space="preserve"> </v>
      </c>
      <c r="H89" s="49" t="str">
        <f t="shared" si="5"/>
        <v xml:space="preserve"> </v>
      </c>
    </row>
    <row r="90" spans="1:8" ht="14.25" customHeight="1">
      <c r="A90" s="4" t="s">
        <v>395</v>
      </c>
      <c r="B90" s="2" t="s">
        <v>314</v>
      </c>
      <c r="C90" s="2" t="s">
        <v>304</v>
      </c>
      <c r="D90" s="55">
        <v>164</v>
      </c>
      <c r="E90" s="40">
        <v>22304</v>
      </c>
      <c r="F90" s="49" t="str">
        <f>IF(E90&gt;=20000,"High","Low")</f>
        <v>High</v>
      </c>
      <c r="G90" s="49" t="str">
        <f t="shared" si="4"/>
        <v xml:space="preserve"> </v>
      </c>
      <c r="H90" s="49" t="str">
        <f t="shared" si="5"/>
        <v xml:space="preserve"> </v>
      </c>
    </row>
    <row r="91" spans="1:8" ht="14.25" customHeight="1">
      <c r="A91" s="4" t="s">
        <v>396</v>
      </c>
      <c r="B91" s="2" t="s">
        <v>314</v>
      </c>
      <c r="C91" s="2" t="s">
        <v>295</v>
      </c>
      <c r="D91" s="55">
        <v>251</v>
      </c>
      <c r="E91" s="40">
        <v>42188</v>
      </c>
      <c r="F91" s="49" t="str">
        <f>IF(E91&gt;=20000,"High","Low")</f>
        <v>High</v>
      </c>
      <c r="G91" s="49" t="str">
        <f t="shared" si="4"/>
        <v xml:space="preserve"> </v>
      </c>
      <c r="H91" s="49" t="str">
        <f t="shared" si="5"/>
        <v>Fashion</v>
      </c>
    </row>
    <row r="92" spans="1:8" ht="14.25" customHeight="1">
      <c r="A92" s="4" t="s">
        <v>397</v>
      </c>
      <c r="B92" s="2" t="s">
        <v>294</v>
      </c>
      <c r="C92" s="2" t="s">
        <v>292</v>
      </c>
      <c r="D92" s="55">
        <v>227</v>
      </c>
      <c r="E92" s="40">
        <v>21081</v>
      </c>
      <c r="F92" s="49" t="str">
        <f>IF(E92&gt;=20000,"High","Low")</f>
        <v>High</v>
      </c>
      <c r="G92" s="49" t="str">
        <f t="shared" si="4"/>
        <v xml:space="preserve"> </v>
      </c>
      <c r="H92" s="49" t="str">
        <f t="shared" si="5"/>
        <v>Fashion</v>
      </c>
    </row>
    <row r="93" spans="1:8" ht="14.25" customHeight="1">
      <c r="A93" s="4" t="s">
        <v>398</v>
      </c>
      <c r="B93" s="2" t="s">
        <v>297</v>
      </c>
      <c r="C93" s="2" t="s">
        <v>318</v>
      </c>
      <c r="D93" s="55">
        <v>7</v>
      </c>
      <c r="E93" s="40">
        <v>30587</v>
      </c>
      <c r="F93" s="49" t="str">
        <f>IF(E93&gt;=20000,"High","Low")</f>
        <v>High</v>
      </c>
      <c r="G93" s="49" t="str">
        <f t="shared" si="4"/>
        <v xml:space="preserve"> </v>
      </c>
      <c r="H93" s="49" t="str">
        <f t="shared" si="5"/>
        <v xml:space="preserve"> </v>
      </c>
    </row>
    <row r="94" spans="1:8" ht="14.25" customHeight="1">
      <c r="A94" s="4" t="s">
        <v>399</v>
      </c>
      <c r="B94" s="2" t="s">
        <v>303</v>
      </c>
      <c r="C94" s="2" t="s">
        <v>292</v>
      </c>
      <c r="D94" s="55">
        <v>29</v>
      </c>
      <c r="E94" s="40">
        <v>33481</v>
      </c>
      <c r="F94" s="49" t="str">
        <f>IF(E94&gt;=20000,"High","Low")</f>
        <v>High</v>
      </c>
      <c r="G94" s="49" t="str">
        <f t="shared" si="4"/>
        <v xml:space="preserve"> </v>
      </c>
      <c r="H94" s="49" t="str">
        <f t="shared" si="5"/>
        <v>Fashion</v>
      </c>
    </row>
    <row r="95" spans="1:8" ht="14.25" customHeight="1">
      <c r="A95" s="4" t="s">
        <v>400</v>
      </c>
      <c r="B95" s="2" t="s">
        <v>316</v>
      </c>
      <c r="C95" s="2" t="s">
        <v>292</v>
      </c>
      <c r="D95" s="55">
        <v>33</v>
      </c>
      <c r="E95" s="40">
        <v>4262</v>
      </c>
      <c r="F95" s="49" t="str">
        <f>IF(E95&gt;=20000,"High","Low")</f>
        <v>Low</v>
      </c>
      <c r="G95" s="49" t="str">
        <f t="shared" si="4"/>
        <v xml:space="preserve"> </v>
      </c>
      <c r="H95" s="49" t="str">
        <f t="shared" si="5"/>
        <v>Fashion</v>
      </c>
    </row>
    <row r="96" spans="1:8" ht="14.25" customHeight="1">
      <c r="A96" s="4" t="s">
        <v>401</v>
      </c>
      <c r="B96" s="2" t="s">
        <v>12</v>
      </c>
      <c r="C96" s="2" t="s">
        <v>313</v>
      </c>
      <c r="D96" s="55">
        <v>134</v>
      </c>
      <c r="E96" s="40">
        <v>46667</v>
      </c>
      <c r="F96" s="49" t="str">
        <f>IF(E96&gt;=20000,"High","Low")</f>
        <v>High</v>
      </c>
      <c r="G96" s="49" t="str">
        <f t="shared" si="4"/>
        <v xml:space="preserve"> </v>
      </c>
      <c r="H96" s="49" t="str">
        <f t="shared" si="5"/>
        <v xml:space="preserve"> </v>
      </c>
    </row>
    <row r="97" spans="1:8" ht="14.25" customHeight="1">
      <c r="A97" s="4" t="s">
        <v>402</v>
      </c>
      <c r="B97" s="2" t="s">
        <v>310</v>
      </c>
      <c r="C97" s="2" t="s">
        <v>304</v>
      </c>
      <c r="D97" s="55">
        <v>79</v>
      </c>
      <c r="E97" s="40">
        <v>10268</v>
      </c>
      <c r="F97" s="49" t="str">
        <f>IF(E97&gt;=20000,"High","Low")</f>
        <v>Low</v>
      </c>
      <c r="G97" s="49" t="str">
        <f t="shared" si="4"/>
        <v xml:space="preserve"> </v>
      </c>
      <c r="H97" s="49" t="str">
        <f t="shared" si="5"/>
        <v xml:space="preserve"> </v>
      </c>
    </row>
    <row r="98" spans="1:8" ht="14.25" customHeight="1">
      <c r="A98" s="4" t="s">
        <v>403</v>
      </c>
      <c r="B98" s="2" t="s">
        <v>297</v>
      </c>
      <c r="C98" s="2" t="s">
        <v>318</v>
      </c>
      <c r="D98" s="55">
        <v>58</v>
      </c>
      <c r="E98" s="40">
        <v>43908</v>
      </c>
      <c r="F98" s="49" t="str">
        <f>IF(E98&gt;=20000,"High","Low")</f>
        <v>High</v>
      </c>
      <c r="G98" s="49" t="str">
        <f t="shared" si="4"/>
        <v xml:space="preserve"> </v>
      </c>
      <c r="H98" s="49" t="str">
        <f t="shared" si="5"/>
        <v xml:space="preserve"> </v>
      </c>
    </row>
    <row r="99" spans="1:8" ht="14.25" customHeight="1">
      <c r="A99" s="4" t="s">
        <v>404</v>
      </c>
      <c r="B99" s="2" t="s">
        <v>300</v>
      </c>
      <c r="C99" s="2" t="s">
        <v>292</v>
      </c>
      <c r="D99" s="55">
        <v>26</v>
      </c>
      <c r="E99" s="40">
        <v>39999</v>
      </c>
      <c r="F99" s="49" t="str">
        <f>IF(E99&gt;=20000,"High","Low")</f>
        <v>High</v>
      </c>
      <c r="G99" s="49" t="str">
        <f t="shared" si="4"/>
        <v xml:space="preserve"> </v>
      </c>
      <c r="H99" s="49" t="str">
        <f t="shared" si="5"/>
        <v>Fashion</v>
      </c>
    </row>
    <row r="100" spans="1:8" ht="14.25" customHeight="1">
      <c r="A100" s="4" t="s">
        <v>405</v>
      </c>
      <c r="B100" s="2" t="s">
        <v>310</v>
      </c>
      <c r="C100" s="2" t="s">
        <v>318</v>
      </c>
      <c r="D100" s="55">
        <v>226</v>
      </c>
      <c r="E100" s="40">
        <v>39059</v>
      </c>
      <c r="F100" s="49" t="str">
        <f>IF(E100&gt;=20000,"High","Low")</f>
        <v>High</v>
      </c>
      <c r="G100" s="49" t="str">
        <f t="shared" si="4"/>
        <v>Best</v>
      </c>
      <c r="H100" s="49" t="str">
        <f t="shared" si="5"/>
        <v xml:space="preserve"> </v>
      </c>
    </row>
    <row r="101" spans="1:8" ht="14.25" customHeight="1">
      <c r="A101" s="5" t="s">
        <v>406</v>
      </c>
      <c r="B101" s="6" t="s">
        <v>314</v>
      </c>
      <c r="C101" s="6" t="s">
        <v>295</v>
      </c>
      <c r="D101" s="56">
        <v>285</v>
      </c>
      <c r="E101" s="41">
        <v>49090</v>
      </c>
      <c r="F101" s="49" t="str">
        <f>IF(E101&gt;=20000,"High","Low")</f>
        <v>High</v>
      </c>
      <c r="G101" s="49" t="str">
        <f t="shared" si="4"/>
        <v xml:space="preserve"> </v>
      </c>
      <c r="H101" s="49" t="str">
        <f t="shared" si="5"/>
        <v>Fashion</v>
      </c>
    </row>
    <row r="102" spans="1:8" ht="14.25" customHeight="1">
      <c r="A102" s="5"/>
      <c r="B102" s="6"/>
      <c r="C102" s="6"/>
      <c r="D102" s="56">
        <f>SUM(Table8[Quantity])</f>
        <v>14281</v>
      </c>
      <c r="E102" s="41"/>
      <c r="F102" s="60"/>
      <c r="G102" s="60"/>
      <c r="H102" s="60"/>
    </row>
    <row r="103" spans="1:8" ht="14.25" customHeight="1"/>
    <row r="104" spans="1:8" ht="14.25" customHeight="1"/>
    <row r="105" spans="1:8" ht="14.25" customHeight="1"/>
    <row r="106" spans="1:8" ht="14.25" customHeight="1"/>
    <row r="107" spans="1:8" ht="14.25" customHeight="1"/>
    <row r="108" spans="1:8" ht="14.25" customHeight="1"/>
    <row r="109" spans="1:8" ht="14.25" customHeight="1"/>
    <row r="110" spans="1:8" ht="14.25" customHeight="1"/>
    <row r="111" spans="1:8" ht="14.25" customHeight="1"/>
    <row r="112" spans="1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2:D101">
    <cfRule type="cellIs" dxfId="25" priority="1" operator="lessThan">
      <formula>20</formula>
    </cfRule>
  </conditionalFormatting>
  <dataValidations count="1">
    <dataValidation type="whole" allowBlank="1" showInputMessage="1" showErrorMessage="1" sqref="D2:D101" xr:uid="{303CF272-9B91-4CE3-8055-DBC08D65562C}">
      <formula1>10</formula1>
      <formula2>500</formula2>
    </dataValidation>
  </dataValidations>
  <pageMargins left="0.75" right="0.75" top="1" bottom="1" header="0" footer="0"/>
  <pageSetup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topLeftCell="Q1" workbookViewId="0">
      <selection activeCell="B19" sqref="B19"/>
    </sheetView>
  </sheetViews>
  <sheetFormatPr defaultColWidth="14.42578125" defaultRowHeight="15" customHeight="1"/>
  <cols>
    <col min="1" max="1" width="8.7109375" customWidth="1"/>
    <col min="2" max="2" width="60.85546875" bestFit="1" customWidth="1"/>
    <col min="3" max="26" width="8.7109375" customWidth="1"/>
  </cols>
  <sheetData>
    <row r="1" spans="1:2" ht="14.25" customHeight="1">
      <c r="A1" s="1" t="s">
        <v>25</v>
      </c>
      <c r="B1" s="1" t="s">
        <v>26</v>
      </c>
    </row>
    <row r="2" spans="1:2" ht="14.25" customHeight="1">
      <c r="A2" s="1">
        <v>1</v>
      </c>
      <c r="B2" s="3" t="s">
        <v>407</v>
      </c>
    </row>
    <row r="3" spans="1:2" ht="14.25" customHeight="1">
      <c r="A3" s="1">
        <v>2</v>
      </c>
      <c r="B3" s="1" t="s">
        <v>408</v>
      </c>
    </row>
    <row r="4" spans="1:2" ht="14.25" customHeight="1">
      <c r="A4" s="1">
        <v>3</v>
      </c>
      <c r="B4" s="1" t="s">
        <v>29</v>
      </c>
    </row>
    <row r="5" spans="1:2" ht="14.25" customHeight="1">
      <c r="A5" s="1">
        <v>4</v>
      </c>
      <c r="B5" s="1" t="s">
        <v>409</v>
      </c>
    </row>
    <row r="6" spans="1:2" ht="14.25" customHeight="1">
      <c r="A6" s="1">
        <v>5</v>
      </c>
      <c r="B6" s="1" t="s">
        <v>410</v>
      </c>
    </row>
    <row r="7" spans="1:2" ht="14.25" customHeight="1">
      <c r="A7" s="1">
        <v>6</v>
      </c>
      <c r="B7" s="1" t="s">
        <v>411</v>
      </c>
    </row>
    <row r="8" spans="1:2" ht="14.25" customHeight="1">
      <c r="A8" s="1">
        <v>7</v>
      </c>
      <c r="B8" s="1" t="s">
        <v>412</v>
      </c>
    </row>
    <row r="9" spans="1:2" ht="14.25" customHeight="1">
      <c r="A9" s="1">
        <v>8</v>
      </c>
      <c r="B9" s="1" t="s">
        <v>413</v>
      </c>
    </row>
    <row r="10" spans="1:2" ht="14.25" customHeight="1">
      <c r="A10" s="1">
        <v>9</v>
      </c>
      <c r="B10" s="1" t="s">
        <v>414</v>
      </c>
    </row>
    <row r="11" spans="1:2" ht="14.25" customHeight="1">
      <c r="A11" s="1">
        <v>10</v>
      </c>
      <c r="B11" s="1" t="s">
        <v>415</v>
      </c>
    </row>
    <row r="12" spans="1:2" ht="14.25" customHeight="1">
      <c r="A12" s="1">
        <v>11</v>
      </c>
      <c r="B12" s="1" t="s">
        <v>416</v>
      </c>
    </row>
    <row r="13" spans="1:2" ht="14.25" customHeight="1">
      <c r="A13" s="1">
        <v>12</v>
      </c>
      <c r="B13" s="1" t="s">
        <v>417</v>
      </c>
    </row>
    <row r="14" spans="1:2" ht="14.25" customHeight="1">
      <c r="A14" s="1">
        <v>13</v>
      </c>
      <c r="B14" s="1" t="s">
        <v>418</v>
      </c>
    </row>
    <row r="15" spans="1:2" ht="14.25" customHeight="1">
      <c r="A15" s="1">
        <v>14</v>
      </c>
      <c r="B15" s="1" t="s">
        <v>419</v>
      </c>
    </row>
    <row r="16" spans="1:2" ht="14.25" customHeight="1">
      <c r="A16" s="1">
        <v>15</v>
      </c>
      <c r="B16" s="1" t="s">
        <v>420</v>
      </c>
    </row>
    <row r="17" spans="1:2" ht="14.25" customHeight="1">
      <c r="A17" s="1">
        <v>16</v>
      </c>
      <c r="B17" s="1" t="s">
        <v>421</v>
      </c>
    </row>
    <row r="18" spans="1:2" ht="14.25" customHeight="1">
      <c r="A18" s="1">
        <v>17</v>
      </c>
      <c r="B18" s="1" t="s">
        <v>422</v>
      </c>
    </row>
    <row r="19" spans="1:2" ht="14.25" customHeight="1">
      <c r="A19" s="1">
        <v>18</v>
      </c>
      <c r="B19" s="1" t="s">
        <v>423</v>
      </c>
    </row>
    <row r="20" spans="1:2" ht="14.25" customHeight="1">
      <c r="A20" s="1">
        <v>19</v>
      </c>
      <c r="B20" s="1" t="s">
        <v>424</v>
      </c>
    </row>
    <row r="21" spans="1:2" ht="14.25" customHeight="1">
      <c r="A21" s="1">
        <v>20</v>
      </c>
      <c r="B21" s="1" t="s">
        <v>425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7F4B-AB9B-4B97-8A4E-094C82C2B78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2026-03-07T13:41:39Z</dcterms:created>
  <dcterms:modified xsi:type="dcterms:W3CDTF">2026-03-07T13:41:39Z</dcterms:modified>
  <cp:category/>
  <cp:contentStatus/>
</cp:coreProperties>
</file>